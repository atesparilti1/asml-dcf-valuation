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Assumptions" sheetId="2" state="visible" r:id="rId2"/>
    <sheet name="Historical" sheetId="3" state="visible" r:id="rId3"/>
    <sheet name="Forecast" sheetId="4" state="visible" r:id="rId4"/>
    <sheet name="WACC" sheetId="5" state="visible" r:id="rId5"/>
    <sheet name="DCF" sheetId="6" state="visible" r:id="rId6"/>
    <sheet name="Sensitivity" sheetId="7" state="visible" r:id="rId7"/>
    <sheet name="Scenarios" sheetId="8" state="visible" r:id="rId8"/>
    <sheet name="Dashboard" sheetId="9" state="visible" r:id="rId9"/>
    <sheet name="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1">
    <numFmt numFmtId="164" formatCode="yyyy-mm-dd h:mm:ss"/>
    <numFmt numFmtId="165" formatCode="dd-mmm-yyyy"/>
    <numFmt numFmtId="166" formatCode="0.0%;(0.0%);&quot;-&quot;"/>
    <numFmt numFmtId="167" formatCode="&quot;€&quot;#,##0.00"/>
    <numFmt numFmtId="168" formatCode="#,##0.0;(#,##0.0);&quot;-&quot;"/>
    <numFmt numFmtId="169" formatCode="0.00%;(0.00%);&quot;-&quot;"/>
    <numFmt numFmtId="170" formatCode="0.0&quot;x&quot;"/>
    <numFmt numFmtId="171" formatCode="#,##0;(#,##0);&quot;-&quot;"/>
    <numFmt numFmtId="172" formatCode="0.000"/>
    <numFmt numFmtId="173" formatCode="0.0000"/>
    <numFmt numFmtId="174" formatCode="&quot;€&quot;#,##0"/>
  </numFmts>
  <fonts count="12">
    <font>
      <name val="Calibri"/>
      <family val="2"/>
      <color theme="1"/>
      <sz val="11"/>
      <scheme val="minor"/>
    </font>
    <font>
      <name val="Calibri"/>
      <b val="1"/>
      <color rgb="000B1F3A"/>
      <sz val="18"/>
    </font>
    <font>
      <name val="Calibri"/>
      <i val="1"/>
      <color rgb="00595959"/>
      <sz val="10"/>
    </font>
    <font>
      <name val="Calibri"/>
      <b val="1"/>
      <color rgb="000B1F3A"/>
      <sz val="11"/>
    </font>
    <font>
      <name val="Calibri"/>
      <sz val="10"/>
    </font>
    <font>
      <name val="Calibri"/>
      <color rgb="000000FF"/>
      <sz val="10"/>
    </font>
    <font>
      <name val="Calibri"/>
      <i val="1"/>
      <color rgb="00595959"/>
      <sz val="9"/>
    </font>
    <font>
      <name val="Calibri"/>
      <b val="1"/>
      <sz val="10"/>
    </font>
    <font>
      <name val="Calibri"/>
      <b val="1"/>
      <color rgb="00FFFFFF"/>
      <sz val="10"/>
    </font>
    <font>
      <name val="Calibri"/>
      <color rgb="00007A33"/>
      <sz val="10"/>
    </font>
    <font>
      <name val="Calibri"/>
      <b val="1"/>
      <color rgb="000B1F3A"/>
      <sz val="28"/>
    </font>
    <font>
      <name val="Calibri"/>
      <color rgb="002B4BFF"/>
      <sz val="16"/>
    </font>
  </fonts>
  <fills count="9">
    <fill>
      <patternFill/>
    </fill>
    <fill>
      <patternFill patternType="gray125"/>
    </fill>
    <fill>
      <patternFill patternType="solid">
        <fgColor rgb="00E7ECF5"/>
      </patternFill>
    </fill>
    <fill>
      <patternFill patternType="solid">
        <fgColor rgb="00FFF2CC"/>
      </patternFill>
    </fill>
    <fill>
      <patternFill patternType="solid">
        <fgColor rgb="000B1F3A"/>
      </patternFill>
    </fill>
    <fill>
      <patternFill patternType="solid">
        <fgColor rgb="00E2EFDA"/>
      </patternFill>
    </fill>
    <fill>
      <patternFill patternType="solid">
        <fgColor rgb="007F7F7F"/>
      </patternFill>
    </fill>
    <fill>
      <patternFill patternType="solid">
        <fgColor rgb="002B4BFF"/>
      </patternFill>
    </fill>
    <fill>
      <patternFill patternType="solid">
        <fgColor rgb="00FFD966"/>
      </patternFill>
    </fill>
  </fills>
  <borders count="4">
    <border>
      <left/>
      <right/>
      <top/>
      <bottom/>
      <diagonal/>
    </border>
    <border>
      <top style="thin">
        <color rgb="00BFBFBF"/>
      </top>
    </border>
    <border>
      <top style="thin">
        <color rgb="00000000"/>
      </top>
      <bottom style="double">
        <color rgb="00000000"/>
      </bottom>
    </border>
    <border>
      <left style="medium">
        <color rgb="000B1F3A"/>
      </left>
      <right style="medium">
        <color rgb="000B1F3A"/>
      </right>
      <top style="medium">
        <color rgb="000B1F3A"/>
      </top>
      <bottom style="medium">
        <color rgb="000B1F3A"/>
      </bottom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167" fontId="4" fillId="0" borderId="0" applyAlignment="1" pivotButton="0" quotePrefix="0" xfId="0">
      <alignment horizontal="left" vertical="center"/>
    </xf>
    <xf numFmtId="166" fontId="4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0" borderId="0" pivotButton="0" quotePrefix="0" xfId="0"/>
    <xf numFmtId="0" fontId="6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165" fontId="5" fillId="3" borderId="0" pivotButton="0" quotePrefix="0" xfId="0"/>
    <xf numFmtId="1" fontId="5" fillId="3" borderId="0" pivotButton="0" quotePrefix="0" xfId="0"/>
    <xf numFmtId="0" fontId="7" fillId="0" borderId="0" applyAlignment="1" pivotButton="0" quotePrefix="0" xfId="0">
      <alignment horizontal="right" vertical="center"/>
    </xf>
    <xf numFmtId="166" fontId="5" fillId="3" borderId="0" pivotButton="0" quotePrefix="0" xfId="0"/>
    <xf numFmtId="167" fontId="5" fillId="3" borderId="0" pivotButton="0" quotePrefix="0" xfId="0"/>
    <xf numFmtId="168" fontId="5" fillId="3" borderId="0" pivotButton="0" quotePrefix="0" xfId="0"/>
    <xf numFmtId="169" fontId="5" fillId="3" borderId="0" pivotButton="0" quotePrefix="0" xfId="0"/>
    <xf numFmtId="2" fontId="5" fillId="3" borderId="0" pivotButton="0" quotePrefix="0" xfId="0"/>
    <xf numFmtId="0" fontId="8" fillId="4" borderId="0" applyAlignment="1" pivotButton="0" quotePrefix="0" xfId="0">
      <alignment horizontal="left" vertical="center"/>
    </xf>
    <xf numFmtId="0" fontId="8" fillId="4" borderId="0" applyAlignment="1" pivotButton="0" quotePrefix="0" xfId="0">
      <alignment horizontal="center" vertical="center"/>
    </xf>
    <xf numFmtId="166" fontId="4" fillId="0" borderId="0" pivotButton="0" quotePrefix="0" xfId="0"/>
    <xf numFmtId="0" fontId="6" fillId="0" borderId="0" applyAlignment="1" pivotButton="0" quotePrefix="0" xfId="0">
      <alignment vertical="top" wrapText="1"/>
    </xf>
    <xf numFmtId="166" fontId="7" fillId="5" borderId="0" pivotButton="0" quotePrefix="0" xfId="0"/>
    <xf numFmtId="169" fontId="7" fillId="5" borderId="0" pivotButton="0" quotePrefix="0" xfId="0"/>
    <xf numFmtId="170" fontId="5" fillId="3" borderId="0" pivotButton="0" quotePrefix="0" xfId="0"/>
    <xf numFmtId="170" fontId="7" fillId="5" borderId="0" pivotButton="0" quotePrefix="0" xfId="0"/>
    <xf numFmtId="0" fontId="8" fillId="6" borderId="0" applyAlignment="1" pivotButton="0" quotePrefix="0" xfId="0">
      <alignment horizontal="left" vertical="center"/>
    </xf>
    <xf numFmtId="0" fontId="8" fillId="6" borderId="0" applyAlignment="1" pivotButton="0" quotePrefix="0" xfId="0">
      <alignment horizontal="center" vertical="center"/>
    </xf>
    <xf numFmtId="0" fontId="0" fillId="0" borderId="1" pivotButton="0" quotePrefix="0" xfId="0"/>
    <xf numFmtId="171" fontId="7" fillId="0" borderId="1" pivotButton="0" quotePrefix="0" xfId="0"/>
    <xf numFmtId="171" fontId="4" fillId="0" borderId="0" pivotButton="0" quotePrefix="0" xfId="0"/>
    <xf numFmtId="168" fontId="4" fillId="0" borderId="0" pivotButton="0" quotePrefix="0" xfId="0"/>
    <xf numFmtId="166" fontId="7" fillId="0" borderId="0" pivotButton="0" quotePrefix="0" xfId="0"/>
    <xf numFmtId="171" fontId="7" fillId="0" borderId="0" pivotButton="0" quotePrefix="0" xfId="0"/>
    <xf numFmtId="0" fontId="8" fillId="7" borderId="0" applyAlignment="1" pivotButton="0" quotePrefix="0" xfId="0">
      <alignment horizontal="center" vertical="center"/>
    </xf>
    <xf numFmtId="171" fontId="9" fillId="0" borderId="0" pivotButton="0" quotePrefix="0" xfId="0"/>
    <xf numFmtId="166" fontId="9" fillId="0" borderId="0" pivotButton="0" quotePrefix="0" xfId="0"/>
    <xf numFmtId="171" fontId="9" fillId="0" borderId="1" pivotButton="0" quotePrefix="0" xfId="0"/>
    <xf numFmtId="171" fontId="9" fillId="0" borderId="2" pivotButton="0" quotePrefix="0" xfId="0"/>
    <xf numFmtId="171" fontId="7" fillId="0" borderId="2" pivotButton="0" quotePrefix="0" xfId="0"/>
    <xf numFmtId="169" fontId="9" fillId="0" borderId="0" pivotButton="0" quotePrefix="0" xfId="0"/>
    <xf numFmtId="2" fontId="9" fillId="0" borderId="0" pivotButton="0" quotePrefix="0" xfId="0"/>
    <xf numFmtId="169" fontId="4" fillId="0" borderId="0" pivotButton="0" quotePrefix="0" xfId="0"/>
    <xf numFmtId="2" fontId="4" fillId="0" borderId="0" pivotButton="0" quotePrefix="0" xfId="0"/>
    <xf numFmtId="2" fontId="7" fillId="0" borderId="0" pivotButton="0" quotePrefix="0" xfId="0"/>
    <xf numFmtId="169" fontId="7" fillId="0" borderId="0" pivotButton="0" quotePrefix="0" xfId="0"/>
    <xf numFmtId="167" fontId="9" fillId="0" borderId="0" pivotButton="0" quotePrefix="0" xfId="0"/>
    <xf numFmtId="168" fontId="9" fillId="0" borderId="0" pivotButton="0" quotePrefix="0" xfId="0"/>
    <xf numFmtId="169" fontId="7" fillId="5" borderId="3" pivotButton="0" quotePrefix="0" xfId="0"/>
    <xf numFmtId="165" fontId="4" fillId="0" borderId="0" pivotButton="0" quotePrefix="0" xfId="0"/>
    <xf numFmtId="172" fontId="4" fillId="0" borderId="0" pivotButton="0" quotePrefix="0" xfId="0"/>
    <xf numFmtId="173" fontId="4" fillId="0" borderId="0" pivotButton="0" quotePrefix="0" xfId="0"/>
    <xf numFmtId="170" fontId="9" fillId="0" borderId="0" pivotButton="0" quotePrefix="0" xfId="0"/>
    <xf numFmtId="167" fontId="7" fillId="5" borderId="3" pivotButton="0" quotePrefix="0" xfId="0"/>
    <xf numFmtId="170" fontId="4" fillId="0" borderId="0" pivotButton="0" quotePrefix="0" xfId="0"/>
    <xf numFmtId="0" fontId="8" fillId="4" borderId="0" pivotButton="0" quotePrefix="0" xfId="0"/>
    <xf numFmtId="169" fontId="8" fillId="4" borderId="0" applyAlignment="1" pivotButton="0" quotePrefix="0" xfId="0">
      <alignment horizontal="center" vertical="center"/>
    </xf>
    <xf numFmtId="169" fontId="7" fillId="2" borderId="0" applyAlignment="1" pivotButton="0" quotePrefix="0" xfId="0">
      <alignment horizontal="center" vertical="center"/>
    </xf>
    <xf numFmtId="174" fontId="4" fillId="0" borderId="0" applyAlignment="1" pivotButton="0" quotePrefix="0" xfId="0">
      <alignment horizontal="center" vertical="center"/>
    </xf>
    <xf numFmtId="174" fontId="7" fillId="8" borderId="3" applyAlignment="1" pivotButton="0" quotePrefix="0" xfId="0">
      <alignment horizontal="center" vertical="center"/>
    </xf>
    <xf numFmtId="170" fontId="7" fillId="2" borderId="0" applyAlignment="1" pivotButton="0" quotePrefix="0" xfId="0">
      <alignment horizontal="center" vertical="center"/>
    </xf>
    <xf numFmtId="167" fontId="7" fillId="0" borderId="0" pivotButton="0" quotePrefix="0" xfId="0"/>
    <xf numFmtId="167" fontId="7" fillId="5" borderId="0" pivotButton="0" quotePrefix="0" xfId="0"/>
    <xf numFmtId="167" fontId="7" fillId="0" borderId="0" applyAlignment="1" pivotButton="0" quotePrefix="0" xfId="0">
      <alignment horizontal="right" vertical="center"/>
    </xf>
    <xf numFmtId="171" fontId="7" fillId="0" borderId="0" applyAlignment="1" pivotButton="0" quotePrefix="0" xfId="0">
      <alignment horizontal="right" vertical="center"/>
    </xf>
    <xf numFmtId="167" fontId="7" fillId="5" borderId="0" applyAlignment="1" pivotButton="0" quotePrefix="0" xfId="0">
      <alignment horizontal="right" vertical="center"/>
    </xf>
    <xf numFmtId="169" fontId="7" fillId="0" borderId="0" applyAlignment="1" pivotButton="0" quotePrefix="0" xfId="0">
      <alignment horizontal="right" vertical="center"/>
    </xf>
    <xf numFmtId="166" fontId="7" fillId="5" borderId="0" applyAlignment="1" pivotButton="0" quotePrefix="0" xfId="0">
      <alignment horizontal="right" vertical="center"/>
    </xf>
    <xf numFmtId="170" fontId="7" fillId="0" borderId="0" applyAlignment="1" pivotButton="0" quotePrefix="0" xfId="0">
      <alignment horizontal="right" vertical="center"/>
    </xf>
    <xf numFmtId="166" fontId="7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center" vertical="center"/>
    </xf>
    <xf numFmtId="174" fontId="9" fillId="0" borderId="0" pivotButton="0" quotePrefix="0" xfId="0"/>
    <xf numFmtId="0" fontId="7" fillId="0" borderId="3" applyAlignment="1" pivotButton="0" quotePrefix="0" xfId="0">
      <alignment horizontal="center" vertical="center"/>
    </xf>
    <xf numFmtId="169" fontId="4" fillId="0" borderId="0" applyAlignment="1" pivotButton="0" quotePrefix="0" xfId="0">
      <alignment horizontal="right" vertical="center"/>
    </xf>
    <xf numFmtId="168" fontId="4" fillId="0" borderId="0" applyAlignment="1" pivotButton="0" quotePrefix="0" xfId="0">
      <alignment horizontal="right" vertical="center"/>
    </xf>
    <xf numFmtId="1" fontId="4" fillId="0" borderId="0" applyAlignment="1" pivotButton="0" quotePrefix="0" xfId="0">
      <alignment horizontal="right" vertical="center"/>
    </xf>
    <xf numFmtId="166" fontId="4" fillId="0" borderId="0" applyAlignment="1" pivotButton="0" quotePrefix="0" xfId="0">
      <alignment horizontal="right" vertical="center"/>
    </xf>
    <xf numFmtId="167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170" fontId="4" fillId="0" borderId="0" applyAlignment="1" pivotButton="0" quotePrefix="0" xfId="0">
      <alignment horizontal="right" vertical="center"/>
    </xf>
  </cellXfs>
  <cellStyles count="1">
    <cellStyle name="Normal" xfId="0" builtinId="0" hidden="0"/>
  </cellStyles>
  <dxfs count="5">
    <dxf>
      <font>
        <b val="1"/>
        <color rgb="00007A33"/>
      </font>
    </dxf>
    <dxf>
      <font>
        <b val="1"/>
        <u val="single"/>
      </font>
    </dxf>
    <dxf>
      <font>
        <b val="1"/>
        <color rgb="00C00000"/>
      </font>
    </dxf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Revenue: FY21A-FY25A and FY26E-FY30E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'Dashboard'!B19</f>
            </strRef>
          </tx>
          <spPr>
            <a:solidFill>
              <a:srgbClr val="2B4BFF"/>
            </a:solidFill>
            <a:ln>
              <a:prstDash val="solid"/>
            </a:ln>
          </spPr>
          <cat>
            <numRef>
              <f>'Dashboard'!$C$18:$L$18</f>
            </numRef>
          </cat>
          <val>
            <numRef>
              <f>'Dashboard'!$C$19:$L$19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EUR m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EBITDA margin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'Dashboard'!B20</f>
            </strRef>
          </tx>
          <spPr>
            <a:ln w="28000">
              <a:solidFill>
                <a:srgbClr val="0B1F3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'Dashboard'!$C$18:$L$18</f>
            </numRef>
          </cat>
          <val>
            <numRef>
              <f>'Dashboard'!$C$20:$L$20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%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Unlevered free cash flow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'Dashboard'!B21</f>
            </strRef>
          </tx>
          <spPr>
            <a:solidFill>
              <a:srgbClr val="0B1F3A"/>
            </a:solidFill>
            <a:ln>
              <a:prstDash val="solid"/>
            </a:ln>
          </spPr>
          <cat>
            <numRef>
              <f>'Dashboard'!$C$18:$L$18</f>
            </numRef>
          </cat>
          <val>
            <numRef>
              <f>'Dashboard'!$C$21:$L$21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EUR m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Valuation range vs market price (EUR / share)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>
              <a:srgbClr val="2B4BFF"/>
            </a:solidFill>
            <a:ln>
              <a:prstDash val="solid"/>
            </a:ln>
          </spPr>
          <cat>
            <numRef>
              <f>'Dashboard'!$B$24:$B$29</f>
            </numRef>
          </cat>
          <val>
            <numRef>
              <f>'Dashboard'!$C$24:$C$29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EUR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612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21</row>
      <rowOff>0</rowOff>
    </from>
    <ext cx="612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30</row>
      <rowOff>0</rowOff>
    </from>
    <ext cx="6120000" cy="30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39</row>
      <rowOff>0</rowOff>
    </from>
    <ext cx="6120000" cy="306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B1F3A"/>
    <outlinePr summaryBelow="1" summaryRight="1"/>
    <pageSetUpPr fitToPage="1"/>
  </sheetPr>
  <dimension ref="B3:C4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70" customWidth="1" min="3" max="3"/>
  </cols>
  <sheetData>
    <row r="3">
      <c r="B3" s="1" t="inlineStr">
        <is>
          <t>ASML Holding N.V.</t>
        </is>
      </c>
    </row>
    <row r="5">
      <c r="B5" s="2" t="inlineStr">
        <is>
          <t>Discounted Cash Flow Valuation</t>
        </is>
      </c>
    </row>
    <row r="8">
      <c r="B8" s="3" t="inlineStr">
        <is>
          <t>Ticker</t>
        </is>
      </c>
      <c r="C8" s="4" t="inlineStr">
        <is>
          <t>ASML (Euronext Amsterdam) / ASML (Nasdaq)</t>
        </is>
      </c>
    </row>
    <row r="9">
      <c r="B9" s="3" t="inlineStr">
        <is>
          <t>Valuation date</t>
        </is>
      </c>
      <c r="C9" s="5">
        <f>Assumptions!$C$5</f>
        <v/>
      </c>
    </row>
    <row r="10">
      <c r="B10" s="3" t="inlineStr">
        <is>
          <t>Currency</t>
        </is>
      </c>
      <c r="C10" s="4" t="inlineStr">
        <is>
          <t>EUR, millions unless stated</t>
        </is>
      </c>
    </row>
    <row r="11">
      <c r="B11" s="3" t="inlineStr">
        <is>
          <t>Analyst</t>
        </is>
      </c>
      <c r="C11" s="4" t="inlineStr">
        <is>
          <t>Ates Parilti</t>
        </is>
      </c>
    </row>
    <row r="12">
      <c r="B12" s="3" t="inlineStr">
        <is>
          <t>Active scenario</t>
        </is>
      </c>
      <c r="C12" s="4">
        <f>Assumptions!$C$9</f>
        <v/>
      </c>
    </row>
    <row r="13">
      <c r="B13" s="3" t="inlineStr">
        <is>
          <t>DCF price (blended)</t>
        </is>
      </c>
      <c r="C13" s="6">
        <f>DCF!$E$33</f>
        <v/>
      </c>
    </row>
    <row r="14">
      <c r="B14" s="3" t="inlineStr">
        <is>
          <t>Current share price</t>
        </is>
      </c>
      <c r="C14" s="6">
        <f>Assumptions!$C$14</f>
        <v/>
      </c>
    </row>
    <row r="15">
      <c r="B15" s="3" t="inlineStr">
        <is>
          <t>Upside / (downside)</t>
        </is>
      </c>
      <c r="C15" s="7">
        <f>DCF!$E$35</f>
        <v/>
      </c>
    </row>
    <row r="16">
      <c r="B16" s="3" t="inlineStr">
        <is>
          <t>Model checks</t>
        </is>
      </c>
      <c r="C16" s="4">
        <f>Checks!$C$4</f>
        <v/>
      </c>
    </row>
    <row r="18">
      <c r="B18" s="8" t="inlineStr">
        <is>
          <t>Company</t>
        </is>
      </c>
    </row>
    <row r="19" ht="75" customHeight="1">
      <c r="C19" s="9" t="inlineStr">
        <is>
          <t>ASML designs and builds the lithography systems that print circuit patterns onto silicon wafers. It is the sole supplier of EUV lithography, which every leading-edge logic and DRAM fab depends on. Revenue comes from system sales (EUV, DUV, metrology &amp; inspection) and a growing, recurring installed-base business (service and upgrades).</t>
        </is>
      </c>
    </row>
    <row r="24">
      <c r="B24" s="8" t="inlineStr">
        <is>
          <t>How to use</t>
        </is>
      </c>
    </row>
    <row r="25">
      <c r="B25" s="10" t="inlineStr">
        <is>
          <t>1. Change inputs only on Assumptions (blue on yellow). The scenario selector switches Bear / Base / Bull.</t>
        </is>
      </c>
    </row>
    <row r="26">
      <c r="B26" s="10" t="inlineStr">
        <is>
          <t>2. Forecast, WACC, DCF, Sensitivity, Scenarios and Dashboard are 100% formulas.</t>
        </is>
      </c>
    </row>
    <row r="27">
      <c r="B27" s="10" t="inlineStr">
        <is>
          <t>3. Checks tests the model; the status is shown above and on the Dashboard.</t>
        </is>
      </c>
    </row>
    <row r="28">
      <c r="B28" s="10" t="inlineStr">
        <is>
          <t>Colour code: blue = hard-coded input; black = formula; green = link to another sheet; grey header = historical; blue header = forecast.</t>
        </is>
      </c>
    </row>
    <row r="30">
      <c r="B30" s="8" t="inlineStr">
        <is>
          <t>Sources</t>
        </is>
      </c>
    </row>
    <row r="31">
      <c r="B31" s="11" t="inlineStr">
        <is>
          <t>[S1] ASML Form 20-F / Annual Report 2025 (US GAAP), filed 25 Feb 2026, incl. XBRL data</t>
        </is>
      </c>
      <c r="C31" s="11" t="inlineStr">
        <is>
          <t>https://www.sec.gov/Archives/edgar/data/937966/000162828026011378/asml-20251231.htm</t>
        </is>
      </c>
    </row>
    <row r="32">
      <c r="B32" s="11" t="inlineStr">
        <is>
          <t>[S2] SEC EDGAR XBRL company facts for ASML (20-F filings FY2020-FY2025)</t>
        </is>
      </c>
      <c r="C32" s="11" t="inlineStr">
        <is>
          <t>https://data.sec.gov/api/xbrl/companyfacts/CIK0000937966.json</t>
        </is>
      </c>
    </row>
    <row r="33">
      <c r="B33" s="11" t="inlineStr">
        <is>
          <t>[S3] ASML Financial Statements US GAAP Q4 2025 (Form 6-K, 28 Jan 2026)</t>
        </is>
      </c>
      <c r="C33" s="11" t="inlineStr">
        <is>
          <t>https://www.sec.gov/Archives/edgar/data/937966/000162828026003701/</t>
        </is>
      </c>
    </row>
    <row r="34">
      <c r="B34" s="11" t="inlineStr">
        <is>
          <t>[S4] ASML Q2 2026 press release and Financial Statements US GAAP (Form 6-K, 15 Jul 2026)</t>
        </is>
      </c>
      <c r="C34" s="11" t="inlineStr">
        <is>
          <t>https://www.sec.gov/Archives/edgar/data/0000937966/000162828026048235/pressreleasefinancialresul.htm</t>
        </is>
      </c>
    </row>
    <row r="35">
      <c r="B35" s="11" t="inlineStr">
        <is>
          <t>[S5] ASML (Euronext Amsterdam: ASML) closing price 7 Oct 2026, via stockanalysis.com</t>
        </is>
      </c>
      <c r="C35" s="11" t="inlineStr">
        <is>
          <t>https://stockanalysis.com/quote/ams/ASML/history/</t>
        </is>
      </c>
    </row>
    <row r="36">
      <c r="B36" s="11" t="inlineStr">
        <is>
          <t>[S6] Germany 10Y Bund yield, 7 Oct 2026, Trading Economics</t>
        </is>
      </c>
      <c r="C36" s="11" t="inlineStr">
        <is>
          <t>https://tradingeconomics.com/germany/government-bond-yield</t>
        </is>
      </c>
    </row>
    <row r="37">
      <c r="B37" s="11" t="inlineStr">
        <is>
          <t>[S7] A. Damodaran, Country risk premiums (Jan 2026): Netherlands total ERP 4.23%, CRP 0%</t>
        </is>
      </c>
      <c r="C37" s="11" t="inlineStr">
        <is>
          <t>https://pages.stern.nyu.edu/~adamodar/New_Home_Page/datafile/ctryprem.html</t>
        </is>
      </c>
    </row>
    <row r="38">
      <c r="B38" s="11" t="inlineStr">
        <is>
          <t>[S8] A. Damodaran, Betas by sector (Jan 2026): Semiconductor Equip unlevered beta corrected for cash 1.39</t>
        </is>
      </c>
      <c r="C38" s="11" t="inlineStr">
        <is>
          <t>https://pages.stern.nyu.edu/~adamodar/New_Home_Page/datafile/Betas.html</t>
        </is>
      </c>
    </row>
    <row r="39">
      <c r="B39" s="11" t="inlineStr">
        <is>
          <t>[S9] Yahoo Finance, ASML Beta (5Y monthly) 1.12</t>
        </is>
      </c>
      <c r="C39" s="11" t="inlineStr">
        <is>
          <t>https://finance.yahoo.com/quote/ASML/</t>
        </is>
      </c>
    </row>
    <row r="40">
      <c r="B40" s="11" t="inlineStr">
        <is>
          <t>[S10] ASML 2024 Investor Day: 2030 revenue opportunity EUR 44-60bn, gross margin 56-60%</t>
        </is>
      </c>
      <c r="C40" s="11" t="inlineStr">
        <is>
          <t>https://investor.asml.com/news-releases/news-release-details/asml-provides-updated-view-market-opportunities-2024-investor-day-meeting</t>
        </is>
      </c>
    </row>
    <row r="41">
      <c r="B41" s="11" t="inlineStr">
        <is>
          <t>[S11] ASML Q4 2025 press release: 2025 sales EUR 32.7bn, backlog EUR 38.8bn</t>
        </is>
      </c>
      <c r="C41" s="11" t="inlineStr">
        <is>
          <t>https://www.asml.com/en/news/press-releases/2026/q4-2025-financial-results</t>
        </is>
      </c>
    </row>
    <row r="43">
      <c r="B43" s="11" t="inlineStr">
        <is>
          <t>For educational purposes only. Not investment advice.</t>
        </is>
      </c>
    </row>
  </sheetData>
  <conditionalFormatting sqref="C16">
    <cfRule type="expression" priority="1" dxfId="0">
      <formula>$C$16="ALL PASS"</formula>
    </cfRule>
  </conditionalFormatting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 fitToPage="1"/>
  </sheetPr>
  <dimension ref="B1:K86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8" customWidth="1" min="2" max="2"/>
    <col width="14" customWidth="1" min="3" max="3"/>
    <col width="9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4" customWidth="1" min="10" max="10"/>
    <col width="110" customWidth="1" min="11" max="11"/>
  </cols>
  <sheetData>
    <row r="1">
      <c r="B1" s="12" t="inlineStr">
        <is>
          <t>Assumptions</t>
        </is>
      </c>
    </row>
    <row r="2">
      <c r="B2" s="13" t="inlineStr">
        <is>
          <t>All model inputs live here. Blue on yellow = hard-coded input; black = formula. EUR millions unless stated.</t>
        </is>
      </c>
    </row>
    <row r="4">
      <c r="B4" s="14" t="inlineStr">
        <is>
          <t>General</t>
        </is>
      </c>
      <c r="C4" s="15" t="n"/>
      <c r="D4" s="15" t="n"/>
      <c r="E4" s="15" t="n"/>
      <c r="F4" s="15" t="n"/>
      <c r="G4" s="15" t="n"/>
      <c r="H4" s="15" t="n"/>
      <c r="I4" s="15" t="n"/>
      <c r="J4" s="15" t="n"/>
      <c r="K4" s="15" t="n"/>
    </row>
    <row r="5">
      <c r="B5" s="10" t="inlineStr">
        <is>
          <t>Valuation date</t>
        </is>
      </c>
      <c r="C5" s="16" t="n">
        <v>46302</v>
      </c>
      <c r="D5" s="11" t="inlineStr">
        <is>
          <t>date</t>
        </is>
      </c>
      <c r="K5" s="11" t="inlineStr">
        <is>
          <t>Pricing date for market data</t>
        </is>
      </c>
    </row>
    <row r="6">
      <c r="B6" s="10" t="inlineStr">
        <is>
          <t>Latest balance sheet date</t>
        </is>
      </c>
      <c r="C6" s="16" t="n">
        <v>46201</v>
      </c>
      <c r="D6" s="11" t="inlineStr">
        <is>
          <t>date</t>
        </is>
      </c>
      <c r="K6" s="11" t="inlineStr">
        <is>
          <t>Q2 2026 balance sheet (S4); cash flows after this date are valued</t>
        </is>
      </c>
    </row>
    <row r="7">
      <c r="B7" s="10" t="inlineStr">
        <is>
          <t>FY2026 year end</t>
        </is>
      </c>
      <c r="C7" s="16" t="n">
        <v>46387</v>
      </c>
      <c r="D7" s="11" t="inlineStr">
        <is>
          <t>date</t>
        </is>
      </c>
      <c r="K7" s="11" t="inlineStr">
        <is>
          <t>ASML fiscal year = calendar year</t>
        </is>
      </c>
    </row>
    <row r="8">
      <c r="B8" s="10" t="inlineStr">
        <is>
          <t>Scenario selector (1 Bear, 2 Base, 3 Bull)</t>
        </is>
      </c>
      <c r="C8" s="17" t="n">
        <v>2</v>
      </c>
      <c r="D8" s="11" t="inlineStr">
        <is>
          <t>#</t>
        </is>
      </c>
      <c r="K8" s="11" t="inlineStr">
        <is>
          <t>Drives the live model (Forecast, DCF, Sensitivity)</t>
        </is>
      </c>
    </row>
    <row r="9">
      <c r="B9" s="10" t="inlineStr">
        <is>
          <t>Active scenario</t>
        </is>
      </c>
      <c r="C9" s="18">
        <f>CHOOSE(Assumptions!$C$8,"Bear","Base","Bull")</f>
        <v/>
      </c>
    </row>
    <row r="10">
      <c r="B10" s="10" t="inlineStr">
        <is>
          <t>Mid-year discounting (1 = on, 0 = off)</t>
        </is>
      </c>
      <c r="C10" s="17" t="n">
        <v>1</v>
      </c>
      <c r="K10" s="11" t="inlineStr">
        <is>
          <t>Cash flows assumed to arrive evenly through each year (standard banking convention)</t>
        </is>
      </c>
    </row>
    <row r="11">
      <c r="B11" s="10" t="inlineStr">
        <is>
          <t>Weight of Gordon Growth in blended price</t>
        </is>
      </c>
      <c r="C11" s="19" t="n">
        <v>0.5</v>
      </c>
      <c r="K11" s="11" t="inlineStr">
        <is>
          <t>Blended DCF price = weight x Gordon + (1 - weight) x Exit Multiple</t>
        </is>
      </c>
    </row>
    <row r="13">
      <c r="B13" s="14" t="inlineStr">
        <is>
          <t>Market data &amp; latest balance sheet</t>
        </is>
      </c>
      <c r="C13" s="15" t="n"/>
      <c r="D13" s="15" t="n"/>
      <c r="E13" s="15" t="n"/>
      <c r="F13" s="15" t="n"/>
      <c r="G13" s="15" t="n"/>
      <c r="H13" s="15" t="n"/>
      <c r="I13" s="15" t="n"/>
      <c r="J13" s="14" t="inlineStr">
        <is>
          <t>Type</t>
        </is>
      </c>
      <c r="K13" s="14" t="inlineStr">
        <is>
          <t>Source / note</t>
        </is>
      </c>
    </row>
    <row r="14">
      <c r="B14" s="10" t="inlineStr">
        <is>
          <t>Current share price (EUR)</t>
        </is>
      </c>
      <c r="C14" s="20" t="n">
        <v>1611.4</v>
      </c>
      <c r="J14" s="11" t="inlineStr">
        <is>
          <t>MARKET</t>
        </is>
      </c>
      <c r="K14" s="11" t="inlineStr">
        <is>
          <t>[S5] Closing price Euronext Amsterdam, 7 Oct 2026 (EUR)</t>
        </is>
      </c>
    </row>
    <row r="15">
      <c r="B15" s="10" t="inlineStr">
        <is>
          <t>Diluted shares outstanding (m)</t>
        </is>
      </c>
      <c r="C15" s="21" t="n">
        <v>384.9</v>
      </c>
      <c r="J15" s="11" t="inlineStr">
        <is>
          <t>REPORTED</t>
        </is>
      </c>
      <c r="K15" s="11" t="inlineStr">
        <is>
          <t>[S4] Diluted weighted avg. shares Q2 2026 (m)</t>
        </is>
      </c>
    </row>
    <row r="16">
      <c r="B16" s="10" t="inlineStr">
        <is>
          <t>Cash &amp; short-term investments</t>
        </is>
      </c>
      <c r="C16" s="21" t="n">
        <v>7581.5</v>
      </c>
      <c r="J16" s="11" t="inlineStr">
        <is>
          <t>REPORTED</t>
        </is>
      </c>
      <c r="K16" s="11" t="inlineStr">
        <is>
          <t>[S4] Cash 6,671.9 + short-term investments 909.6 at 28 Jun 2026</t>
        </is>
      </c>
    </row>
    <row r="17">
      <c r="B17" s="10" t="inlineStr">
        <is>
          <t>Total debt (bonds + commercial paper)</t>
        </is>
      </c>
      <c r="C17" s="21" t="n">
        <v>3697.7</v>
      </c>
      <c r="J17" s="11" t="inlineStr">
        <is>
          <t>DERIVED</t>
        </is>
      </c>
      <c r="K17" s="11" t="inlineStr">
        <is>
          <t>[S1/S4] FY25 borrowings 4,390.9 (LT 2,709.0 + current 1,681.9 incl. ECP) less H1-26 repayments 693.2</t>
        </is>
      </c>
    </row>
    <row r="18">
      <c r="B18" s="10" t="inlineStr">
        <is>
          <t>Non-operating investments</t>
        </is>
      </c>
      <c r="C18" s="21" t="n">
        <v>2310.7</v>
      </c>
      <c r="J18" s="11" t="inlineStr">
        <is>
          <t>REPORTED</t>
        </is>
      </c>
      <c r="K18" s="11" t="inlineStr">
        <is>
          <t>[S4] Equity investments 1,324.9 + equity-method investments 985.8 at 28 Jun 2026</t>
        </is>
      </c>
    </row>
    <row r="19">
      <c r="B19" s="10" t="inlineStr">
        <is>
          <t>H1-2026 actual unlevered FCF</t>
        </is>
      </c>
      <c r="C19" s="21" t="n">
        <v>-1290.9</v>
      </c>
      <c r="J19" s="11" t="inlineStr">
        <is>
          <t>DERIVED</t>
        </is>
      </c>
      <c r="K19" s="11" t="inlineStr">
        <is>
          <t>[S4] H1-26 CFO (482.5) - PP&amp;E capex 701.8 - intangibles 106.6; already reflected in 28 Jun cash</t>
        </is>
      </c>
    </row>
    <row r="21">
      <c r="B21" s="14" t="inlineStr">
        <is>
          <t>Cost of capital inputs</t>
        </is>
      </c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</row>
    <row r="22">
      <c r="B22" s="10" t="inlineStr">
        <is>
          <t>Risk-free rate (10Y Bund)</t>
        </is>
      </c>
      <c r="C22" s="22" t="n">
        <v>0.0351</v>
      </c>
      <c r="J22" s="11" t="inlineStr">
        <is>
          <t>MARKET</t>
        </is>
      </c>
      <c r="K22" s="11" t="inlineStr">
        <is>
          <t>[S6] German 10Y Bund yield 7 Oct 2026; EUR risk-free matching EUR cash flows</t>
        </is>
      </c>
    </row>
    <row r="23">
      <c r="B23" s="10" t="inlineStr">
        <is>
          <t>Equity risk premium</t>
        </is>
      </c>
      <c r="C23" s="22" t="n">
        <v>0.0423</v>
      </c>
      <c r="J23" s="11" t="inlineStr">
        <is>
          <t>MARKET</t>
        </is>
      </c>
      <c r="K23" s="11" t="inlineStr">
        <is>
          <t>[S7] Damodaran implied mature-market ERP, Netherlands CRP = 0</t>
        </is>
      </c>
    </row>
    <row r="24">
      <c r="B24" s="10" t="inlineStr">
        <is>
          <t>Regression beta (5Y monthly)</t>
        </is>
      </c>
      <c r="C24" s="23" t="n">
        <v>1.12</v>
      </c>
      <c r="J24" s="11" t="inlineStr">
        <is>
          <t>MARKET</t>
        </is>
      </c>
      <c r="K24" s="11" t="inlineStr">
        <is>
          <t>[S9] Regression beta, 5Y monthly</t>
        </is>
      </c>
    </row>
    <row r="25">
      <c r="B25" s="10" t="inlineStr">
        <is>
          <t>Industry unlevered beta (semi equipment)</t>
        </is>
      </c>
      <c r="C25" s="23" t="n">
        <v>1.39</v>
      </c>
      <c r="J25" s="11" t="inlineStr">
        <is>
          <t>MARKET</t>
        </is>
      </c>
      <c r="K25" s="11" t="inlineStr">
        <is>
          <t>[S8] Semiconductor equipment unlevered beta, cash-corrected</t>
        </is>
      </c>
    </row>
    <row r="26">
      <c r="B26" s="10" t="inlineStr">
        <is>
          <t>Weight on regression beta</t>
        </is>
      </c>
      <c r="C26" s="19" t="n">
        <v>0.5</v>
      </c>
      <c r="J26" s="11" t="inlineStr">
        <is>
          <t>ASSUMPTION</t>
        </is>
      </c>
      <c r="K26" s="11" t="inlineStr">
        <is>
          <t>Equal weight regression vs bottom-up: regression is noisy, industry beta captures cyclicality</t>
        </is>
      </c>
    </row>
    <row r="27">
      <c r="B27" s="10" t="inlineStr">
        <is>
          <t>Credit spread over risk-free (A1/A+)</t>
        </is>
      </c>
      <c r="C27" s="22" t="n">
        <v>0.006</v>
      </c>
      <c r="J27" s="11" t="inlineStr">
        <is>
          <t>ASSUMPTION</t>
        </is>
      </c>
      <c r="K27" s="11" t="inlineStr">
        <is>
          <t>[S1] Credit spread for A1/A+ (Moody's/Fitch) EUR corporate issuer</t>
        </is>
      </c>
    </row>
    <row r="28">
      <c r="B28" s="10" t="inlineStr">
        <is>
          <t>Marginal tax rate (debt tax shield)</t>
        </is>
      </c>
      <c r="C28" s="19" t="n">
        <v>0.258</v>
      </c>
      <c r="J28" s="11" t="inlineStr">
        <is>
          <t>ASSUMPTION</t>
        </is>
      </c>
      <c r="K28" s="11" t="inlineStr">
        <is>
          <t>Dutch statutory CIT rate 25.8% for the interest tax shield</t>
        </is>
      </c>
    </row>
    <row r="30">
      <c r="B30" s="14" t="inlineStr">
        <is>
          <t>Scenario drivers (FY2026E - FY2030E)</t>
        </is>
      </c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</row>
    <row r="31">
      <c r="B31" s="24" t="inlineStr">
        <is>
          <t>Driver</t>
        </is>
      </c>
      <c r="C31" s="25" t="inlineStr">
        <is>
          <t>Case</t>
        </is>
      </c>
      <c r="D31" s="25" t="inlineStr">
        <is>
          <t>Unit</t>
        </is>
      </c>
      <c r="E31" s="25" t="inlineStr">
        <is>
          <t>FY26E</t>
        </is>
      </c>
      <c r="F31" s="25" t="inlineStr">
        <is>
          <t>FY27E</t>
        </is>
      </c>
      <c r="G31" s="25" t="inlineStr">
        <is>
          <t>FY28E</t>
        </is>
      </c>
      <c r="H31" s="25" t="inlineStr">
        <is>
          <t>FY29E</t>
        </is>
      </c>
      <c r="I31" s="25" t="inlineStr">
        <is>
          <t>FY30E</t>
        </is>
      </c>
      <c r="J31" s="25" t="inlineStr">
        <is>
          <t>Average</t>
        </is>
      </c>
      <c r="K31" s="25" t="inlineStr">
        <is>
          <t>Rationale</t>
        </is>
      </c>
    </row>
    <row r="32" ht="40" customHeight="1">
      <c r="B32" s="3" t="inlineStr">
        <is>
          <t>Revenue growth</t>
        </is>
      </c>
      <c r="C32" s="10" t="inlineStr">
        <is>
          <t>Bear</t>
        </is>
      </c>
      <c r="D32" s="11" t="inlineStr">
        <is>
          <t>%</t>
        </is>
      </c>
      <c r="E32" s="19" t="n">
        <v>0.3163</v>
      </c>
      <c r="F32" s="19" t="n">
        <v>0.04</v>
      </c>
      <c r="G32" s="19" t="n">
        <v>-0.03</v>
      </c>
      <c r="H32" s="19" t="n">
        <v>0.04</v>
      </c>
      <c r="I32" s="19" t="n">
        <v>0.04</v>
      </c>
      <c r="J32" s="26">
        <f>AVERAGE(E32:I32)</f>
        <v/>
      </c>
      <c r="K32" s="27" t="inlineStr">
        <is>
          <t>FY26 = 2026 guidance EUR 43-45bn (Q2-26). FY27 reflects record backlog and AI-driven capacity adds, then growth fades to ~5% as the cycle normalises. Base FY30 revenue sits just above the 2030 range of EUR 44-60bn because FY26 already exceeds its low end.</t>
        </is>
      </c>
    </row>
    <row r="33">
      <c r="B33" s="10" t="inlineStr"/>
      <c r="C33" s="10" t="inlineStr">
        <is>
          <t>Base</t>
        </is>
      </c>
      <c r="D33" s="11" t="inlineStr">
        <is>
          <t>%</t>
        </is>
      </c>
      <c r="E33" s="19" t="n">
        <v>0.3469</v>
      </c>
      <c r="F33" s="19" t="n">
        <v>0.16</v>
      </c>
      <c r="G33" s="19" t="n">
        <v>0.1</v>
      </c>
      <c r="H33" s="19" t="n">
        <v>0.07000000000000001</v>
      </c>
      <c r="I33" s="19" t="n">
        <v>0.05</v>
      </c>
      <c r="J33" s="26">
        <f>AVERAGE(E33:I33)</f>
        <v/>
      </c>
    </row>
    <row r="34">
      <c r="B34" s="10" t="inlineStr"/>
      <c r="C34" s="10" t="inlineStr">
        <is>
          <t>Bull</t>
        </is>
      </c>
      <c r="D34" s="11" t="inlineStr">
        <is>
          <t>%</t>
        </is>
      </c>
      <c r="E34" s="19" t="n">
        <v>0.3775</v>
      </c>
      <c r="F34" s="19" t="n">
        <v>0.24</v>
      </c>
      <c r="G34" s="19" t="n">
        <v>0.15</v>
      </c>
      <c r="H34" s="19" t="n">
        <v>0.1</v>
      </c>
      <c r="I34" s="19" t="n">
        <v>0.08</v>
      </c>
      <c r="J34" s="26">
        <f>AVERAGE(E34:I34)</f>
        <v/>
      </c>
    </row>
    <row r="35">
      <c r="B35" s="10" t="inlineStr"/>
      <c r="C35" s="3" t="inlineStr">
        <is>
          <t>Live ►</t>
        </is>
      </c>
      <c r="D35" s="11" t="inlineStr">
        <is>
          <t>%</t>
        </is>
      </c>
      <c r="E35" s="28">
        <f>CHOOSE(Assumptions!$C$8,E32,E33,E34)</f>
        <v/>
      </c>
      <c r="F35" s="28">
        <f>CHOOSE(Assumptions!$C$8,F32,F33,F34)</f>
        <v/>
      </c>
      <c r="G35" s="28">
        <f>CHOOSE(Assumptions!$C$8,G32,G33,G34)</f>
        <v/>
      </c>
      <c r="H35" s="28">
        <f>CHOOSE(Assumptions!$C$8,H32,H33,H34)</f>
        <v/>
      </c>
      <c r="I35" s="28">
        <f>CHOOSE(Assumptions!$C$8,I32,I33,I34)</f>
        <v/>
      </c>
      <c r="J35" s="26">
        <f>AVERAGE(E35:I35)</f>
        <v/>
      </c>
    </row>
    <row r="37" ht="40" customHeight="1">
      <c r="B37" s="3" t="inlineStr">
        <is>
          <t>Gross margin</t>
        </is>
      </c>
      <c r="C37" s="10" t="inlineStr">
        <is>
          <t>Bear</t>
        </is>
      </c>
      <c r="D37" s="11" t="inlineStr">
        <is>
          <t>%</t>
        </is>
      </c>
      <c r="E37" s="19" t="n">
        <v>0.54</v>
      </c>
      <c r="F37" s="19" t="n">
        <v>0.51</v>
      </c>
      <c r="G37" s="19" t="n">
        <v>0.5</v>
      </c>
      <c r="H37" s="19" t="n">
        <v>0.51</v>
      </c>
      <c r="I37" s="19" t="n">
        <v>0.52</v>
      </c>
      <c r="J37" s="26">
        <f>AVERAGE(E37:I37)</f>
        <v/>
      </c>
      <c r="K37" s="27" t="inlineStr">
        <is>
          <t>FY26 guide 54-56%. Base trends to 57%, inside ASML's 2030 target band of 56-60% (EUV mix, High-NA maturing, services).</t>
        </is>
      </c>
    </row>
    <row r="38">
      <c r="B38" s="10" t="inlineStr"/>
      <c r="C38" s="10" t="inlineStr">
        <is>
          <t>Base</t>
        </is>
      </c>
      <c r="D38" s="11" t="inlineStr">
        <is>
          <t>%</t>
        </is>
      </c>
      <c r="E38" s="19" t="n">
        <v>0.55</v>
      </c>
      <c r="F38" s="19" t="n">
        <v>0.5600000000000001</v>
      </c>
      <c r="G38" s="19" t="n">
        <v>0.5649999999999999</v>
      </c>
      <c r="H38" s="19" t="n">
        <v>0.57</v>
      </c>
      <c r="I38" s="19" t="n">
        <v>0.57</v>
      </c>
      <c r="J38" s="26">
        <f>AVERAGE(E38:I38)</f>
        <v/>
      </c>
    </row>
    <row r="39">
      <c r="B39" s="10" t="inlineStr"/>
      <c r="C39" s="10" t="inlineStr">
        <is>
          <t>Bull</t>
        </is>
      </c>
      <c r="D39" s="11" t="inlineStr">
        <is>
          <t>%</t>
        </is>
      </c>
      <c r="E39" s="19" t="n">
        <v>0.555</v>
      </c>
      <c r="F39" s="19" t="n">
        <v>0.57</v>
      </c>
      <c r="G39" s="19" t="n">
        <v>0.58</v>
      </c>
      <c r="H39" s="19" t="n">
        <v>0.59</v>
      </c>
      <c r="I39" s="19" t="n">
        <v>0.6</v>
      </c>
      <c r="J39" s="26">
        <f>AVERAGE(E39:I39)</f>
        <v/>
      </c>
    </row>
    <row r="40">
      <c r="B40" s="10" t="inlineStr"/>
      <c r="C40" s="3" t="inlineStr">
        <is>
          <t>Live ►</t>
        </is>
      </c>
      <c r="D40" s="11" t="inlineStr">
        <is>
          <t>%</t>
        </is>
      </c>
      <c r="E40" s="28">
        <f>CHOOSE(Assumptions!$C$8,E37,E38,E39)</f>
        <v/>
      </c>
      <c r="F40" s="28">
        <f>CHOOSE(Assumptions!$C$8,F37,F38,F39)</f>
        <v/>
      </c>
      <c r="G40" s="28">
        <f>CHOOSE(Assumptions!$C$8,G37,G38,G39)</f>
        <v/>
      </c>
      <c r="H40" s="28">
        <f>CHOOSE(Assumptions!$C$8,H37,H38,H39)</f>
        <v/>
      </c>
      <c r="I40" s="28">
        <f>CHOOSE(Assumptions!$C$8,I37,I38,I39)</f>
        <v/>
      </c>
      <c r="J40" s="26">
        <f>AVERAGE(E40:I40)</f>
        <v/>
      </c>
    </row>
    <row r="42" ht="40" customHeight="1">
      <c r="B42" s="3" t="inlineStr">
        <is>
          <t>EBITDA margin</t>
        </is>
      </c>
      <c r="C42" s="10" t="inlineStr">
        <is>
          <t>Bear</t>
        </is>
      </c>
      <c r="D42" s="11" t="inlineStr">
        <is>
          <t>%</t>
        </is>
      </c>
      <c r="E42" s="19" t="n">
        <v>0.395</v>
      </c>
      <c r="F42" s="19" t="n">
        <v>0.36</v>
      </c>
      <c r="G42" s="19" t="n">
        <v>0.345</v>
      </c>
      <c r="H42" s="19" t="n">
        <v>0.355</v>
      </c>
      <c r="I42" s="19" t="n">
        <v>0.365</v>
      </c>
      <c r="J42" s="26">
        <f>AVERAGE(E42:I42)</f>
        <v/>
      </c>
      <c r="K42" s="27" t="inlineStr">
        <is>
          <t>FY25A 37.7%, H1-26 op. margin 36.6% with H2 guided higher. Opex (R&amp;D ~14% of sales) grows slower than revenue = operating leverage. Bear shows a downturn with R&amp;D held flat in absolute terms.</t>
        </is>
      </c>
    </row>
    <row r="43">
      <c r="B43" s="10" t="inlineStr"/>
      <c r="C43" s="10" t="inlineStr">
        <is>
          <t>Base</t>
        </is>
      </c>
      <c r="D43" s="11" t="inlineStr">
        <is>
          <t>%</t>
        </is>
      </c>
      <c r="E43" s="19" t="n">
        <v>0.41</v>
      </c>
      <c r="F43" s="19" t="n">
        <v>0.42</v>
      </c>
      <c r="G43" s="19" t="n">
        <v>0.425</v>
      </c>
      <c r="H43" s="19" t="n">
        <v>0.43</v>
      </c>
      <c r="I43" s="19" t="n">
        <v>0.43</v>
      </c>
      <c r="J43" s="26">
        <f>AVERAGE(E43:I43)</f>
        <v/>
      </c>
    </row>
    <row r="44">
      <c r="B44" s="10" t="inlineStr"/>
      <c r="C44" s="10" t="inlineStr">
        <is>
          <t>Bull</t>
        </is>
      </c>
      <c r="D44" s="11" t="inlineStr">
        <is>
          <t>%</t>
        </is>
      </c>
      <c r="E44" s="19" t="n">
        <v>0.415</v>
      </c>
      <c r="F44" s="19" t="n">
        <v>0.435</v>
      </c>
      <c r="G44" s="19" t="n">
        <v>0.45</v>
      </c>
      <c r="H44" s="19" t="n">
        <v>0.46</v>
      </c>
      <c r="I44" s="19" t="n">
        <v>0.465</v>
      </c>
      <c r="J44" s="26">
        <f>AVERAGE(E44:I44)</f>
        <v/>
      </c>
    </row>
    <row r="45">
      <c r="B45" s="10" t="inlineStr"/>
      <c r="C45" s="3" t="inlineStr">
        <is>
          <t>Live ►</t>
        </is>
      </c>
      <c r="D45" s="11" t="inlineStr">
        <is>
          <t>%</t>
        </is>
      </c>
      <c r="E45" s="28">
        <f>CHOOSE(Assumptions!$C$8,E42,E43,E44)</f>
        <v/>
      </c>
      <c r="F45" s="28">
        <f>CHOOSE(Assumptions!$C$8,F42,F43,F44)</f>
        <v/>
      </c>
      <c r="G45" s="28">
        <f>CHOOSE(Assumptions!$C$8,G42,G43,G44)</f>
        <v/>
      </c>
      <c r="H45" s="28">
        <f>CHOOSE(Assumptions!$C$8,H42,H43,H44)</f>
        <v/>
      </c>
      <c r="I45" s="28">
        <f>CHOOSE(Assumptions!$C$8,I42,I43,I44)</f>
        <v/>
      </c>
      <c r="J45" s="26">
        <f>AVERAGE(E45:I45)</f>
        <v/>
      </c>
    </row>
    <row r="47" ht="40" customHeight="1">
      <c r="B47" s="3" t="inlineStr">
        <is>
          <t>D&amp;A % revenue</t>
        </is>
      </c>
      <c r="C47" s="10" t="inlineStr">
        <is>
          <t>Bear</t>
        </is>
      </c>
      <c r="D47" s="11" t="inlineStr">
        <is>
          <t>%</t>
        </is>
      </c>
      <c r="E47" s="19" t="n">
        <v>0.028</v>
      </c>
      <c r="F47" s="19" t="n">
        <v>0.03</v>
      </c>
      <c r="G47" s="19" t="n">
        <v>0.03</v>
      </c>
      <c r="H47" s="19" t="n">
        <v>0.03</v>
      </c>
      <c r="I47" s="19" t="n">
        <v>0.03</v>
      </c>
      <c r="J47" s="26">
        <f>AVERAGE(E47:I47)</f>
        <v/>
      </c>
      <c r="K47" s="27" t="inlineStr">
        <is>
          <t>FY21-25 range 2.5-3.3%, FY25 3.1%. The new capacity build-out lifts the absolute D&amp;A level.</t>
        </is>
      </c>
    </row>
    <row r="48">
      <c r="B48" s="10" t="inlineStr"/>
      <c r="C48" s="10" t="inlineStr">
        <is>
          <t>Base</t>
        </is>
      </c>
      <c r="D48" s="11" t="inlineStr">
        <is>
          <t>%</t>
        </is>
      </c>
      <c r="E48" s="19" t="n">
        <v>0.028</v>
      </c>
      <c r="F48" s="19" t="n">
        <v>0.028</v>
      </c>
      <c r="G48" s="19" t="n">
        <v>0.028</v>
      </c>
      <c r="H48" s="19" t="n">
        <v>0.028</v>
      </c>
      <c r="I48" s="19" t="n">
        <v>0.028</v>
      </c>
      <c r="J48" s="26">
        <f>AVERAGE(E48:I48)</f>
        <v/>
      </c>
    </row>
    <row r="49">
      <c r="B49" s="10" t="inlineStr"/>
      <c r="C49" s="10" t="inlineStr">
        <is>
          <t>Bull</t>
        </is>
      </c>
      <c r="D49" s="11" t="inlineStr">
        <is>
          <t>%</t>
        </is>
      </c>
      <c r="E49" s="19" t="n">
        <v>0.028</v>
      </c>
      <c r="F49" s="19" t="n">
        <v>0.027</v>
      </c>
      <c r="G49" s="19" t="n">
        <v>0.027</v>
      </c>
      <c r="H49" s="19" t="n">
        <v>0.027</v>
      </c>
      <c r="I49" s="19" t="n">
        <v>0.027</v>
      </c>
      <c r="J49" s="26">
        <f>AVERAGE(E49:I49)</f>
        <v/>
      </c>
    </row>
    <row r="50">
      <c r="B50" s="10" t="inlineStr"/>
      <c r="C50" s="3" t="inlineStr">
        <is>
          <t>Live ►</t>
        </is>
      </c>
      <c r="D50" s="11" t="inlineStr">
        <is>
          <t>%</t>
        </is>
      </c>
      <c r="E50" s="28">
        <f>CHOOSE(Assumptions!$C$8,E47,E48,E49)</f>
        <v/>
      </c>
      <c r="F50" s="28">
        <f>CHOOSE(Assumptions!$C$8,F47,F48,F49)</f>
        <v/>
      </c>
      <c r="G50" s="28">
        <f>CHOOSE(Assumptions!$C$8,G47,G48,G49)</f>
        <v/>
      </c>
      <c r="H50" s="28">
        <f>CHOOSE(Assumptions!$C$8,H47,H48,H49)</f>
        <v/>
      </c>
      <c r="I50" s="28">
        <f>CHOOSE(Assumptions!$C$8,I47,I48,I49)</f>
        <v/>
      </c>
      <c r="J50" s="26">
        <f>AVERAGE(E50:I50)</f>
        <v/>
      </c>
    </row>
    <row r="52" ht="40" customHeight="1">
      <c r="B52" s="3" t="inlineStr">
        <is>
          <t>CapEx % revenue</t>
        </is>
      </c>
      <c r="C52" s="10" t="inlineStr">
        <is>
          <t>Bear</t>
        </is>
      </c>
      <c r="D52" s="11" t="inlineStr">
        <is>
          <t>%</t>
        </is>
      </c>
      <c r="E52" s="19" t="n">
        <v>0.06</v>
      </c>
      <c r="F52" s="19" t="n">
        <v>0.065</v>
      </c>
      <c r="G52" s="19" t="n">
        <v>0.065</v>
      </c>
      <c r="H52" s="19" t="n">
        <v>0.06</v>
      </c>
      <c r="I52" s="19" t="n">
        <v>0.06</v>
      </c>
      <c r="J52" s="26">
        <f>AVERAGE(E52:I52)</f>
        <v/>
      </c>
      <c r="K52" s="27" t="inlineStr">
        <is>
          <t>FY21-25 average 6.4% (peak 8.0% in FY23 capacity expansion, 5.0% in FY25). Base 5.5% as capex normalises but EUV/High-NA capacity is still added.</t>
        </is>
      </c>
    </row>
    <row r="53">
      <c r="B53" s="10" t="inlineStr"/>
      <c r="C53" s="10" t="inlineStr">
        <is>
          <t>Base</t>
        </is>
      </c>
      <c r="D53" s="11" t="inlineStr">
        <is>
          <t>%</t>
        </is>
      </c>
      <c r="E53" s="19" t="n">
        <v>0.055</v>
      </c>
      <c r="F53" s="19" t="n">
        <v>0.055</v>
      </c>
      <c r="G53" s="19" t="n">
        <v>0.055</v>
      </c>
      <c r="H53" s="19" t="n">
        <v>0.055</v>
      </c>
      <c r="I53" s="19" t="n">
        <v>0.055</v>
      </c>
      <c r="J53" s="26">
        <f>AVERAGE(E53:I53)</f>
        <v/>
      </c>
    </row>
    <row r="54">
      <c r="B54" s="10" t="inlineStr"/>
      <c r="C54" s="10" t="inlineStr">
        <is>
          <t>Bull</t>
        </is>
      </c>
      <c r="D54" s="11" t="inlineStr">
        <is>
          <t>%</t>
        </is>
      </c>
      <c r="E54" s="19" t="n">
        <v>0.05</v>
      </c>
      <c r="F54" s="19" t="n">
        <v>0.05</v>
      </c>
      <c r="G54" s="19" t="n">
        <v>0.05</v>
      </c>
      <c r="H54" s="19" t="n">
        <v>0.05</v>
      </c>
      <c r="I54" s="19" t="n">
        <v>0.05</v>
      </c>
      <c r="J54" s="26">
        <f>AVERAGE(E54:I54)</f>
        <v/>
      </c>
    </row>
    <row r="55">
      <c r="B55" s="10" t="inlineStr"/>
      <c r="C55" s="3" t="inlineStr">
        <is>
          <t>Live ►</t>
        </is>
      </c>
      <c r="D55" s="11" t="inlineStr">
        <is>
          <t>%</t>
        </is>
      </c>
      <c r="E55" s="28">
        <f>CHOOSE(Assumptions!$C$8,E52,E53,E54)</f>
        <v/>
      </c>
      <c r="F55" s="28">
        <f>CHOOSE(Assumptions!$C$8,F52,F53,F54)</f>
        <v/>
      </c>
      <c r="G55" s="28">
        <f>CHOOSE(Assumptions!$C$8,G52,G53,G54)</f>
        <v/>
      </c>
      <c r="H55" s="28">
        <f>CHOOSE(Assumptions!$C$8,H52,H53,H54)</f>
        <v/>
      </c>
      <c r="I55" s="28">
        <f>CHOOSE(Assumptions!$C$8,I52,I53,I54)</f>
        <v/>
      </c>
      <c r="J55" s="26">
        <f>AVERAGE(E55:I55)</f>
        <v/>
      </c>
    </row>
    <row r="57" ht="40" customHeight="1">
      <c r="B57" s="3" t="inlineStr">
        <is>
          <t>Net working capital % revenue</t>
        </is>
      </c>
      <c r="C57" s="10" t="inlineStr">
        <is>
          <t>Bear</t>
        </is>
      </c>
      <c r="D57" s="11" t="inlineStr">
        <is>
          <t>%</t>
        </is>
      </c>
      <c r="E57" s="19" t="n">
        <v>-0.08</v>
      </c>
      <c r="F57" s="19" t="n">
        <v>-0.06</v>
      </c>
      <c r="G57" s="19" t="n">
        <v>-0.06</v>
      </c>
      <c r="H57" s="19" t="n">
        <v>-0.06</v>
      </c>
      <c r="I57" s="19" t="n">
        <v>-0.06</v>
      </c>
      <c r="J57" s="26">
        <f>AVERAGE(E57:I57)</f>
        <v/>
      </c>
      <c r="K57" s="27" t="inlineStr">
        <is>
          <t>ASML runs negative NWC because customers pay EUV down payments (contract liabilities). It was -27% in FY25 but fell to about -7% of LTM sales by Jun-26 as down payments were consumed. Base normalises to -12%, below the FY21-25 average.</t>
        </is>
      </c>
    </row>
    <row r="58">
      <c r="B58" s="10" t="inlineStr"/>
      <c r="C58" s="10" t="inlineStr">
        <is>
          <t>Base</t>
        </is>
      </c>
      <c r="D58" s="11" t="inlineStr">
        <is>
          <t>%</t>
        </is>
      </c>
      <c r="E58" s="19" t="n">
        <v>-0.12</v>
      </c>
      <c r="F58" s="19" t="n">
        <v>-0.12</v>
      </c>
      <c r="G58" s="19" t="n">
        <v>-0.12</v>
      </c>
      <c r="H58" s="19" t="n">
        <v>-0.12</v>
      </c>
      <c r="I58" s="19" t="n">
        <v>-0.12</v>
      </c>
      <c r="J58" s="26">
        <f>AVERAGE(E58:I58)</f>
        <v/>
      </c>
    </row>
    <row r="59">
      <c r="B59" s="10" t="inlineStr"/>
      <c r="C59" s="10" t="inlineStr">
        <is>
          <t>Bull</t>
        </is>
      </c>
      <c r="D59" s="11" t="inlineStr">
        <is>
          <t>%</t>
        </is>
      </c>
      <c r="E59" s="19" t="n">
        <v>-0.15</v>
      </c>
      <c r="F59" s="19" t="n">
        <v>-0.15</v>
      </c>
      <c r="G59" s="19" t="n">
        <v>-0.15</v>
      </c>
      <c r="H59" s="19" t="n">
        <v>-0.15</v>
      </c>
      <c r="I59" s="19" t="n">
        <v>-0.15</v>
      </c>
      <c r="J59" s="26">
        <f>AVERAGE(E59:I59)</f>
        <v/>
      </c>
    </row>
    <row r="60">
      <c r="B60" s="10" t="inlineStr"/>
      <c r="C60" s="3" t="inlineStr">
        <is>
          <t>Live ►</t>
        </is>
      </c>
      <c r="D60" s="11" t="inlineStr">
        <is>
          <t>%</t>
        </is>
      </c>
      <c r="E60" s="28">
        <f>CHOOSE(Assumptions!$C$8,E57,E58,E59)</f>
        <v/>
      </c>
      <c r="F60" s="28">
        <f>CHOOSE(Assumptions!$C$8,F57,F58,F59)</f>
        <v/>
      </c>
      <c r="G60" s="28">
        <f>CHOOSE(Assumptions!$C$8,G57,G58,G59)</f>
        <v/>
      </c>
      <c r="H60" s="28">
        <f>CHOOSE(Assumptions!$C$8,H57,H58,H59)</f>
        <v/>
      </c>
      <c r="I60" s="28">
        <f>CHOOSE(Assumptions!$C$8,I57,I58,I59)</f>
        <v/>
      </c>
      <c r="J60" s="26">
        <f>AVERAGE(E60:I60)</f>
        <v/>
      </c>
    </row>
    <row r="62" ht="40" customHeight="1">
      <c r="B62" s="3" t="inlineStr">
        <is>
          <t>Tax rate on EBIT</t>
        </is>
      </c>
      <c r="C62" s="10" t="inlineStr">
        <is>
          <t>Bear</t>
        </is>
      </c>
      <c r="D62" s="11" t="inlineStr">
        <is>
          <t>%</t>
        </is>
      </c>
      <c r="E62" s="19" t="n">
        <v>0.18</v>
      </c>
      <c r="F62" s="19" t="n">
        <v>0.18</v>
      </c>
      <c r="G62" s="19" t="n">
        <v>0.18</v>
      </c>
      <c r="H62" s="19" t="n">
        <v>0.18</v>
      </c>
      <c r="I62" s="19" t="n">
        <v>0.18</v>
      </c>
      <c r="J62" s="26">
        <f>AVERAGE(E62:I62)</f>
        <v/>
      </c>
      <c r="K62" s="27" t="inlineStr">
        <is>
          <t>Effective tax rate FY21-25 15.0-18.6% (Dutch innovation box), FY25 17.7%. Pillar Two 15% minimum is not binding.</t>
        </is>
      </c>
    </row>
    <row r="63">
      <c r="B63" s="10" t="inlineStr"/>
      <c r="C63" s="10" t="inlineStr">
        <is>
          <t>Base</t>
        </is>
      </c>
      <c r="D63" s="11" t="inlineStr">
        <is>
          <t>%</t>
        </is>
      </c>
      <c r="E63" s="19" t="n">
        <v>0.175</v>
      </c>
      <c r="F63" s="19" t="n">
        <v>0.175</v>
      </c>
      <c r="G63" s="19" t="n">
        <v>0.175</v>
      </c>
      <c r="H63" s="19" t="n">
        <v>0.175</v>
      </c>
      <c r="I63" s="19" t="n">
        <v>0.175</v>
      </c>
      <c r="J63" s="26">
        <f>AVERAGE(E63:I63)</f>
        <v/>
      </c>
    </row>
    <row r="64">
      <c r="B64" s="10" t="inlineStr"/>
      <c r="C64" s="10" t="inlineStr">
        <is>
          <t>Bull</t>
        </is>
      </c>
      <c r="D64" s="11" t="inlineStr">
        <is>
          <t>%</t>
        </is>
      </c>
      <c r="E64" s="19" t="n">
        <v>0.17</v>
      </c>
      <c r="F64" s="19" t="n">
        <v>0.17</v>
      </c>
      <c r="G64" s="19" t="n">
        <v>0.17</v>
      </c>
      <c r="H64" s="19" t="n">
        <v>0.17</v>
      </c>
      <c r="I64" s="19" t="n">
        <v>0.17</v>
      </c>
      <c r="J64" s="26">
        <f>AVERAGE(E64:I64)</f>
        <v/>
      </c>
    </row>
    <row r="65">
      <c r="B65" s="10" t="inlineStr"/>
      <c r="C65" s="3" t="inlineStr">
        <is>
          <t>Live ►</t>
        </is>
      </c>
      <c r="D65" s="11" t="inlineStr">
        <is>
          <t>%</t>
        </is>
      </c>
      <c r="E65" s="28">
        <f>CHOOSE(Assumptions!$C$8,E62,E63,E64)</f>
        <v/>
      </c>
      <c r="F65" s="28">
        <f>CHOOSE(Assumptions!$C$8,F62,F63,F64)</f>
        <v/>
      </c>
      <c r="G65" s="28">
        <f>CHOOSE(Assumptions!$C$8,G62,G63,G64)</f>
        <v/>
      </c>
      <c r="H65" s="28">
        <f>CHOOSE(Assumptions!$C$8,H62,H63,H64)</f>
        <v/>
      </c>
      <c r="I65" s="28">
        <f>CHOOSE(Assumptions!$C$8,I62,I63,I64)</f>
        <v/>
      </c>
      <c r="J65" s="26">
        <f>AVERAGE(E65:I65)</f>
        <v/>
      </c>
    </row>
    <row r="67" ht="40" customHeight="1">
      <c r="B67" s="3" t="inlineStr">
        <is>
          <t>Terminal growth rate</t>
        </is>
      </c>
      <c r="C67" s="10" t="inlineStr">
        <is>
          <t>Bear</t>
        </is>
      </c>
      <c r="D67" s="11" t="inlineStr">
        <is>
          <t>%</t>
        </is>
      </c>
      <c r="E67" s="22" t="n">
        <v>0.02</v>
      </c>
      <c r="K67" s="27" t="inlineStr">
        <is>
          <t>Long-run nominal growth: euro-area inflation ~2% + modest real growth in semiconductor content. It is kept below the risk-free rate (3.5%) and nominal GDP.</t>
        </is>
      </c>
    </row>
    <row r="68">
      <c r="B68" s="10" t="inlineStr"/>
      <c r="C68" s="10" t="inlineStr">
        <is>
          <t>Base</t>
        </is>
      </c>
      <c r="D68" s="11" t="inlineStr">
        <is>
          <t>%</t>
        </is>
      </c>
      <c r="E68" s="22" t="n">
        <v>0.025</v>
      </c>
    </row>
    <row r="69">
      <c r="B69" s="10" t="inlineStr"/>
      <c r="C69" s="10" t="inlineStr">
        <is>
          <t>Bull</t>
        </is>
      </c>
      <c r="D69" s="11" t="inlineStr">
        <is>
          <t>%</t>
        </is>
      </c>
      <c r="E69" s="22" t="n">
        <v>0.03</v>
      </c>
    </row>
    <row r="70">
      <c r="B70" s="10" t="inlineStr"/>
      <c r="C70" s="3" t="inlineStr">
        <is>
          <t>Live ►</t>
        </is>
      </c>
      <c r="D70" s="11" t="inlineStr">
        <is>
          <t>%</t>
        </is>
      </c>
      <c r="E70" s="29">
        <f>CHOOSE(Assumptions!$C$8,E67,E68,E69)</f>
        <v/>
      </c>
    </row>
    <row r="72" ht="40" customHeight="1">
      <c r="B72" s="3" t="inlineStr">
        <is>
          <t>Exit EV/EBITDA multiple</t>
        </is>
      </c>
      <c r="C72" s="10" t="inlineStr">
        <is>
          <t>Bear</t>
        </is>
      </c>
      <c r="D72" s="11" t="inlineStr">
        <is>
          <t>x</t>
        </is>
      </c>
      <c r="E72" s="30" t="n">
        <v>18</v>
      </c>
      <c r="K72" s="27" t="inlineStr">
        <is>
          <t>ASML's 5-yr average EV/EBITDA is ~30x (35x forward in Aug-26). 25x applies a discount because growth has decelerated by FY30. Semi-equipment peers (AMAT, LRCX, KLAC) have traded at ~18-25x.</t>
        </is>
      </c>
    </row>
    <row r="73">
      <c r="B73" s="10" t="inlineStr"/>
      <c r="C73" s="10" t="inlineStr">
        <is>
          <t>Base</t>
        </is>
      </c>
      <c r="D73" s="11" t="inlineStr">
        <is>
          <t>x</t>
        </is>
      </c>
      <c r="E73" s="30" t="n">
        <v>25</v>
      </c>
    </row>
    <row r="74">
      <c r="B74" s="10" t="inlineStr"/>
      <c r="C74" s="10" t="inlineStr">
        <is>
          <t>Bull</t>
        </is>
      </c>
      <c r="D74" s="11" t="inlineStr">
        <is>
          <t>x</t>
        </is>
      </c>
      <c r="E74" s="30" t="n">
        <v>30</v>
      </c>
    </row>
    <row r="75">
      <c r="B75" s="10" t="inlineStr"/>
      <c r="C75" s="3" t="inlineStr">
        <is>
          <t>Live ►</t>
        </is>
      </c>
      <c r="D75" s="11" t="inlineStr">
        <is>
          <t>x</t>
        </is>
      </c>
      <c r="E75" s="31">
        <f>CHOOSE(Assumptions!$C$8,E72,E73,E74)</f>
        <v/>
      </c>
    </row>
    <row r="77" ht="40" customHeight="1">
      <c r="B77" s="3" t="inlineStr">
        <is>
          <t>WACC adjustment vs. CAPM WACC</t>
        </is>
      </c>
      <c r="C77" s="10" t="inlineStr">
        <is>
          <t>Bear</t>
        </is>
      </c>
      <c r="D77" s="11" t="inlineStr">
        <is>
          <t>%</t>
        </is>
      </c>
      <c r="E77" s="22" t="n">
        <v>0.005</v>
      </c>
      <c r="K77" s="27" t="inlineStr">
        <is>
          <t>Bear prices extra risk for export-control and cyclical exposure. Bull assumes a lower risk premium for a structural AI capex cycle.</t>
        </is>
      </c>
    </row>
    <row r="78">
      <c r="B78" s="10" t="inlineStr"/>
      <c r="C78" s="10" t="inlineStr">
        <is>
          <t>Base</t>
        </is>
      </c>
      <c r="D78" s="11" t="inlineStr">
        <is>
          <t>%</t>
        </is>
      </c>
      <c r="E78" s="22" t="n">
        <v>0</v>
      </c>
    </row>
    <row r="79">
      <c r="B79" s="10" t="inlineStr"/>
      <c r="C79" s="10" t="inlineStr">
        <is>
          <t>Bull</t>
        </is>
      </c>
      <c r="D79" s="11" t="inlineStr">
        <is>
          <t>%</t>
        </is>
      </c>
      <c r="E79" s="22" t="n">
        <v>-0.005</v>
      </c>
    </row>
    <row r="80">
      <c r="B80" s="10" t="inlineStr"/>
      <c r="C80" s="3" t="inlineStr">
        <is>
          <t>Live ►</t>
        </is>
      </c>
      <c r="D80" s="11" t="inlineStr">
        <is>
          <t>%</t>
        </is>
      </c>
      <c r="E80" s="29">
        <f>CHOOSE(Assumptions!$C$8,E77,E78,E79)</f>
        <v/>
      </c>
    </row>
    <row r="83">
      <c r="B83" s="14" t="inlineStr">
        <is>
          <t>Scenario narrative</t>
        </is>
      </c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</row>
    <row r="84">
      <c r="B84" s="3" t="inlineStr">
        <is>
          <t>Bear</t>
        </is>
      </c>
      <c r="C84" s="11" t="inlineStr">
        <is>
          <t>AI capex digestion in 2027-28 coincides with tighter China export controls (DUV immersion and servicing). Customers push out EUV orders, the down-payment float shrinks and margins compress as fixed R&amp;D is held.</t>
        </is>
      </c>
    </row>
    <row r="85">
      <c r="B85" s="3" t="inlineStr">
        <is>
          <t>Base</t>
        </is>
      </c>
      <c r="C85" s="11" t="inlineStr">
        <is>
          <t>2026 guidance is delivered, the backlog converts, and EUV/High-NA adoption in logic and DRAM grows revenue to about EUR 63bn by 2030 with margins at the 2030 target band.</t>
        </is>
      </c>
    </row>
    <row r="86">
      <c r="B86" s="3" t="inlineStr">
        <is>
          <t>Bull</t>
        </is>
      </c>
      <c r="C86" s="11" t="inlineStr">
        <is>
          <t>A sustained AI-driven leading-edge build-out plus faster High-NA adoption push revenue beyond the 2030 range, with gross margin at 60% and services scaling on the installed base.</t>
        </is>
      </c>
    </row>
  </sheetData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tabColor rgb="007F7F7F"/>
    <outlinePr summaryBelow="1" summaryRight="1"/>
    <pageSetUpPr fitToPage="1"/>
  </sheetPr>
  <dimension ref="B1:J6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2" customWidth="1" min="9" max="9"/>
    <col width="70" customWidth="1" min="10" max="10"/>
  </cols>
  <sheetData>
    <row r="1">
      <c r="B1" s="12" t="inlineStr">
        <is>
          <t>Historical Financials</t>
        </is>
      </c>
    </row>
    <row r="2">
      <c r="B2" s="13" t="inlineStr">
        <is>
          <t>Reported US GAAP figures (blue) from ASML 20-F filings via SEC XBRL [S1, S2, S3]; ratios and FCF are calculated (black). EUR millions.</t>
        </is>
      </c>
    </row>
    <row r="4">
      <c r="B4" s="32" t="inlineStr">
        <is>
          <t>EUR m, fiscal year ending 31 Dec</t>
        </is>
      </c>
      <c r="C4" s="33" t="inlineStr">
        <is>
          <t>FY20A (ref)</t>
        </is>
      </c>
      <c r="D4" s="33" t="inlineStr">
        <is>
          <t>FY21A</t>
        </is>
      </c>
      <c r="E4" s="33" t="inlineStr">
        <is>
          <t>FY22A</t>
        </is>
      </c>
      <c r="F4" s="33" t="inlineStr">
        <is>
          <t>FY23A</t>
        </is>
      </c>
      <c r="G4" s="33" t="inlineStr">
        <is>
          <t>FY24A</t>
        </is>
      </c>
      <c r="H4" s="33" t="inlineStr">
        <is>
          <t>FY25A</t>
        </is>
      </c>
      <c r="I4" s="33" t="inlineStr">
        <is>
          <t>Type</t>
        </is>
      </c>
      <c r="J4" s="33" t="inlineStr">
        <is>
          <t>Source / definition</t>
        </is>
      </c>
    </row>
    <row r="5">
      <c r="B5" s="14" t="inlineStr">
        <is>
          <t>Reported (US GAAP)</t>
        </is>
      </c>
      <c r="C5" s="15" t="n"/>
      <c r="D5" s="15" t="n"/>
      <c r="E5" s="15" t="n"/>
      <c r="F5" s="15" t="n"/>
      <c r="G5" s="15" t="n"/>
      <c r="H5" s="15" t="n"/>
      <c r="I5" s="15" t="n"/>
      <c r="J5" s="15" t="n"/>
    </row>
    <row r="6">
      <c r="B6" s="10" t="inlineStr">
        <is>
          <t>Total net sales</t>
        </is>
      </c>
      <c r="C6" s="21" t="n">
        <v>13978.5</v>
      </c>
      <c r="D6" s="21" t="n">
        <v>18611</v>
      </c>
      <c r="E6" s="21" t="n">
        <v>21173.4</v>
      </c>
      <c r="F6" s="21" t="n">
        <v>27558.5</v>
      </c>
      <c r="G6" s="21" t="n">
        <v>28262.9</v>
      </c>
      <c r="H6" s="21" t="n">
        <v>32667.3</v>
      </c>
      <c r="I6" s="11" t="inlineStr">
        <is>
          <t>REPORTED</t>
        </is>
      </c>
      <c r="J6" s="11" t="inlineStr">
        <is>
          <t>[S2] XBRL 20-F</t>
        </is>
      </c>
    </row>
    <row r="7">
      <c r="B7" s="10" t="inlineStr">
        <is>
          <t>Cost of sales</t>
        </is>
      </c>
      <c r="D7" s="21" t="n">
        <v>8802</v>
      </c>
      <c r="E7" s="21" t="n">
        <v>10473.3</v>
      </c>
      <c r="F7" s="21" t="n">
        <v>13422.4</v>
      </c>
      <c r="G7" s="21" t="n">
        <v>13770.9</v>
      </c>
      <c r="H7" s="21" t="n">
        <v>15409.3</v>
      </c>
      <c r="I7" s="11" t="inlineStr">
        <is>
          <t>REPORTED</t>
        </is>
      </c>
      <c r="J7" s="11" t="inlineStr">
        <is>
          <t>[S2] XBRL 20-F</t>
        </is>
      </c>
    </row>
    <row r="8">
      <c r="B8" s="10" t="inlineStr">
        <is>
          <t>Gross profit</t>
        </is>
      </c>
      <c r="D8" s="21" t="n">
        <v>9809</v>
      </c>
      <c r="E8" s="21" t="n">
        <v>10700.1</v>
      </c>
      <c r="F8" s="21" t="n">
        <v>14136.1</v>
      </c>
      <c r="G8" s="21" t="n">
        <v>14492</v>
      </c>
      <c r="H8" s="21" t="n">
        <v>17258</v>
      </c>
      <c r="I8" s="11" t="inlineStr">
        <is>
          <t>REPORTED</t>
        </is>
      </c>
      <c r="J8" s="11" t="inlineStr">
        <is>
          <t>[S2] XBRL 20-F</t>
        </is>
      </c>
    </row>
    <row r="9">
      <c r="B9" s="10" t="inlineStr">
        <is>
          <t>Research &amp; development</t>
        </is>
      </c>
      <c r="D9" s="21" t="n">
        <v>2547</v>
      </c>
      <c r="E9" s="21" t="n">
        <v>3253.5</v>
      </c>
      <c r="F9" s="21" t="n">
        <v>3980.6</v>
      </c>
      <c r="G9" s="21" t="n">
        <v>4303.7</v>
      </c>
      <c r="H9" s="21" t="n">
        <v>4698.8</v>
      </c>
      <c r="I9" s="11" t="inlineStr">
        <is>
          <t>REPORTED</t>
        </is>
      </c>
      <c r="J9" s="11" t="inlineStr">
        <is>
          <t>[S2] XBRL 20-F</t>
        </is>
      </c>
    </row>
    <row r="10">
      <c r="B10" s="10" t="inlineStr">
        <is>
          <t>Selling, general &amp; administrative</t>
        </is>
      </c>
      <c r="D10" s="21" t="n">
        <v>725.6</v>
      </c>
      <c r="E10" s="21" t="n">
        <v>945.9</v>
      </c>
      <c r="F10" s="21" t="n">
        <v>1113.2</v>
      </c>
      <c r="G10" s="21" t="n">
        <v>1165.7</v>
      </c>
      <c r="H10" s="21" t="n">
        <v>1257.8</v>
      </c>
      <c r="I10" s="11" t="inlineStr">
        <is>
          <t>REPORTED</t>
        </is>
      </c>
      <c r="J10" s="11" t="inlineStr">
        <is>
          <t>[S2] XBRL 20-F</t>
        </is>
      </c>
    </row>
    <row r="11">
      <c r="B11" s="10" t="inlineStr">
        <is>
          <t>Income from operations (EBIT)</t>
        </is>
      </c>
      <c r="D11" s="21" t="n">
        <v>6750.1</v>
      </c>
      <c r="E11" s="21" t="n">
        <v>6500.7</v>
      </c>
      <c r="F11" s="21" t="n">
        <v>9042.299999999999</v>
      </c>
      <c r="G11" s="21" t="n">
        <v>9022.6</v>
      </c>
      <c r="H11" s="21" t="n">
        <v>11301.4</v>
      </c>
      <c r="I11" s="11" t="inlineStr">
        <is>
          <t>REPORTED</t>
        </is>
      </c>
      <c r="J11" s="11" t="inlineStr">
        <is>
          <t>[S2] XBRL 20-F</t>
        </is>
      </c>
    </row>
    <row r="12">
      <c r="B12" s="10" t="inlineStr">
        <is>
          <t>Depreciation &amp; amortization (cash flow statement)</t>
        </is>
      </c>
      <c r="D12" s="21" t="n">
        <v>471</v>
      </c>
      <c r="E12" s="21" t="n">
        <v>583.6</v>
      </c>
      <c r="F12" s="21" t="n">
        <v>739.8</v>
      </c>
      <c r="G12" s="21" t="n">
        <v>918.6</v>
      </c>
      <c r="H12" s="21" t="n">
        <v>1025.9</v>
      </c>
      <c r="I12" s="11" t="inlineStr">
        <is>
          <t>REPORTED</t>
        </is>
      </c>
      <c r="J12" s="11" t="inlineStr">
        <is>
          <t>[S2] XBRL 20-F</t>
        </is>
      </c>
    </row>
    <row r="13">
      <c r="B13" s="10" t="inlineStr">
        <is>
          <t>Income before income taxes</t>
        </is>
      </c>
      <c r="D13" s="21" t="n">
        <v>6705.5</v>
      </c>
      <c r="E13" s="21" t="n">
        <v>6456.1</v>
      </c>
      <c r="F13" s="21" t="n">
        <v>9083.5</v>
      </c>
      <c r="G13" s="21" t="n">
        <v>9042.4</v>
      </c>
      <c r="H13" s="21" t="n">
        <v>11406.1</v>
      </c>
      <c r="I13" s="11" t="inlineStr">
        <is>
          <t>REPORTED</t>
        </is>
      </c>
      <c r="J13" s="11" t="inlineStr">
        <is>
          <t>[S2] XBRL 20-F</t>
        </is>
      </c>
    </row>
    <row r="14">
      <c r="B14" s="10" t="inlineStr">
        <is>
          <t>Income tax expense</t>
        </is>
      </c>
      <c r="D14" s="21" t="n">
        <v>1021.4</v>
      </c>
      <c r="E14" s="21" t="n">
        <v>969.9</v>
      </c>
      <c r="F14" s="21" t="n">
        <v>1435.8</v>
      </c>
      <c r="G14" s="21" t="n">
        <v>1680.6</v>
      </c>
      <c r="H14" s="21" t="n">
        <v>2013.4</v>
      </c>
      <c r="I14" s="11" t="inlineStr">
        <is>
          <t>REPORTED</t>
        </is>
      </c>
      <c r="J14" s="11" t="inlineStr">
        <is>
          <t>[S2] XBRL 20-F</t>
        </is>
      </c>
    </row>
    <row r="15">
      <c r="B15" s="10" t="inlineStr">
        <is>
          <t>Net income</t>
        </is>
      </c>
      <c r="D15" s="21" t="n">
        <v>5883.2</v>
      </c>
      <c r="E15" s="21" t="n">
        <v>5624.2</v>
      </c>
      <c r="F15" s="21" t="n">
        <v>7839</v>
      </c>
      <c r="G15" s="21" t="n">
        <v>7571.6</v>
      </c>
      <c r="H15" s="21" t="n">
        <v>9609.4</v>
      </c>
      <c r="I15" s="11" t="inlineStr">
        <is>
          <t>REPORTED</t>
        </is>
      </c>
      <c r="J15" s="11" t="inlineStr">
        <is>
          <t>[S2] XBRL 20-F</t>
        </is>
      </c>
    </row>
    <row r="16">
      <c r="B16" s="10" t="inlineStr">
        <is>
          <t>Purchase of PP&amp;E</t>
        </is>
      </c>
      <c r="D16" s="21" t="n">
        <v>900.7</v>
      </c>
      <c r="E16" s="21" t="n">
        <v>1281.8</v>
      </c>
      <c r="F16" s="21" t="n">
        <v>2155.6</v>
      </c>
      <c r="G16" s="21" t="n">
        <v>2067.2</v>
      </c>
      <c r="H16" s="21" t="n">
        <v>1573.6</v>
      </c>
      <c r="I16" s="11" t="inlineStr">
        <is>
          <t>REPORTED</t>
        </is>
      </c>
      <c r="J16" s="11" t="inlineStr">
        <is>
          <t>[S2] XBRL 20-F</t>
        </is>
      </c>
    </row>
    <row r="17">
      <c r="B17" s="10" t="inlineStr">
        <is>
          <t>Purchase of intangible assets</t>
        </is>
      </c>
      <c r="D17" s="21" t="n">
        <v>39.6</v>
      </c>
      <c r="E17" s="21" t="n">
        <v>37.5</v>
      </c>
      <c r="F17" s="21" t="n">
        <v>40.6</v>
      </c>
      <c r="G17" s="21" t="n">
        <v>15.9</v>
      </c>
      <c r="H17" s="21" t="n">
        <v>57.6</v>
      </c>
      <c r="I17" s="11" t="inlineStr">
        <is>
          <t>REPORTED</t>
        </is>
      </c>
      <c r="J17" s="11" t="inlineStr">
        <is>
          <t>[S2] XBRL 20-F</t>
        </is>
      </c>
    </row>
    <row r="18">
      <c r="B18" s="10" t="inlineStr">
        <is>
          <t>Net cash from operating activities</t>
        </is>
      </c>
      <c r="D18" s="21" t="n">
        <v>10845.8</v>
      </c>
      <c r="E18" s="21" t="n">
        <v>8486.799999999999</v>
      </c>
      <c r="F18" s="21" t="n">
        <v>5443.4</v>
      </c>
      <c r="G18" s="21" t="n">
        <v>11166.2</v>
      </c>
      <c r="H18" s="21" t="n">
        <v>12658.5</v>
      </c>
      <c r="I18" s="11" t="inlineStr">
        <is>
          <t>REPORTED</t>
        </is>
      </c>
      <c r="J18" s="11" t="inlineStr">
        <is>
          <t>[S2] XBRL 20-F</t>
        </is>
      </c>
    </row>
    <row r="19">
      <c r="B19" s="10" t="inlineStr">
        <is>
          <t>Cash &amp; cash equivalents</t>
        </is>
      </c>
      <c r="C19" s="21" t="n">
        <v>6049.4</v>
      </c>
      <c r="D19" s="21" t="n">
        <v>6951.8</v>
      </c>
      <c r="E19" s="21" t="n">
        <v>7268.3</v>
      </c>
      <c r="F19" s="21" t="n">
        <v>7004.7</v>
      </c>
      <c r="G19" s="21" t="n">
        <v>12735.9</v>
      </c>
      <c r="H19" s="21" t="n">
        <v>12916</v>
      </c>
      <c r="I19" s="11" t="inlineStr">
        <is>
          <t>REPORTED</t>
        </is>
      </c>
      <c r="J19" s="11" t="inlineStr">
        <is>
          <t>[S2] XBRL 20-F</t>
        </is>
      </c>
    </row>
    <row r="20">
      <c r="B20" s="10" t="inlineStr">
        <is>
          <t>Short-term investments</t>
        </is>
      </c>
      <c r="C20" s="21" t="n">
        <v>1302.2</v>
      </c>
      <c r="D20" s="21" t="n">
        <v>638.5</v>
      </c>
      <c r="E20" s="21" t="n">
        <v>107.7</v>
      </c>
      <c r="F20" s="21" t="n">
        <v>5.4</v>
      </c>
      <c r="G20" s="21" t="n">
        <v>5.4</v>
      </c>
      <c r="H20" s="21" t="n">
        <v>405.9</v>
      </c>
      <c r="I20" s="11" t="inlineStr">
        <is>
          <t>REPORTED</t>
        </is>
      </c>
      <c r="J20" s="11" t="inlineStr">
        <is>
          <t>[S2] XBRL 20-F</t>
        </is>
      </c>
    </row>
    <row r="21">
      <c r="B21" s="10" t="inlineStr">
        <is>
          <t>Total current assets</t>
        </is>
      </c>
      <c r="C21" s="21" t="n">
        <v>15930</v>
      </c>
      <c r="D21" s="21" t="n">
        <v>18190.2</v>
      </c>
      <c r="E21" s="21" t="n">
        <v>23064.9</v>
      </c>
      <c r="F21" s="21" t="n">
        <v>24393.9</v>
      </c>
      <c r="G21" s="21" t="n">
        <v>30737.4</v>
      </c>
      <c r="H21" s="21" t="n">
        <v>30616.1</v>
      </c>
      <c r="I21" s="11" t="inlineStr">
        <is>
          <t>REPORTED</t>
        </is>
      </c>
      <c r="J21" s="11" t="inlineStr">
        <is>
          <t>[S2] XBRL 20-F</t>
        </is>
      </c>
    </row>
    <row r="22">
      <c r="B22" s="10" t="inlineStr">
        <is>
          <t>Loans receivable, current (non-operating)</t>
        </is>
      </c>
      <c r="C22" s="21" t="n">
        <v>0</v>
      </c>
      <c r="D22" s="21" t="n">
        <v>0</v>
      </c>
      <c r="E22" s="21" t="n">
        <v>0</v>
      </c>
      <c r="F22" s="21" t="n">
        <v>0</v>
      </c>
      <c r="G22" s="21" t="n">
        <v>0</v>
      </c>
      <c r="H22" s="21" t="n">
        <v>266.1</v>
      </c>
      <c r="I22" s="11" t="inlineStr">
        <is>
          <t>REPORTED</t>
        </is>
      </c>
      <c r="J22" s="11" t="inlineStr">
        <is>
          <t>[S2] XBRL 20-F; new line in FY25 [S3]</t>
        </is>
      </c>
    </row>
    <row r="23">
      <c r="B23" s="10" t="inlineStr">
        <is>
          <t>Total current liabilities</t>
        </is>
      </c>
      <c r="C23" s="21" t="n">
        <v>6603.5</v>
      </c>
      <c r="D23" s="21" t="n">
        <v>12298</v>
      </c>
      <c r="E23" s="21" t="n">
        <v>17983.6</v>
      </c>
      <c r="F23" s="21" t="n">
        <v>16274.7</v>
      </c>
      <c r="G23" s="21" t="n">
        <v>20051.4</v>
      </c>
      <c r="H23" s="21" t="n">
        <v>24263.9</v>
      </c>
      <c r="I23" s="11" t="inlineStr">
        <is>
          <t>REPORTED</t>
        </is>
      </c>
      <c r="J23" s="11" t="inlineStr">
        <is>
          <t>[S2] XBRL 20-F</t>
        </is>
      </c>
    </row>
    <row r="24">
      <c r="B24" s="10" t="inlineStr">
        <is>
          <t>Current debt incl. commercial paper</t>
        </is>
      </c>
      <c r="C24" s="21" t="n">
        <v>15.4</v>
      </c>
      <c r="D24" s="21" t="n">
        <v>509.1</v>
      </c>
      <c r="E24" s="21" t="n">
        <v>746.2</v>
      </c>
      <c r="F24" s="21" t="n">
        <v>0.1</v>
      </c>
      <c r="G24" s="21" t="n">
        <v>1010.3</v>
      </c>
      <c r="H24" s="21" t="n">
        <v>1681.9</v>
      </c>
      <c r="I24" s="11" t="inlineStr">
        <is>
          <t>REPORTED</t>
        </is>
      </c>
      <c r="J24" s="11" t="inlineStr">
        <is>
          <t>[S2] XBRL 20-F; FY25 current debt = bonds 990.2 + ECP 691.7 [S1]</t>
        </is>
      </c>
    </row>
    <row r="25">
      <c r="B25" s="10" t="inlineStr">
        <is>
          <t>Long-term debt</t>
        </is>
      </c>
      <c r="D25" s="21" t="n">
        <v>4075</v>
      </c>
      <c r="E25" s="21" t="n">
        <v>3514.2</v>
      </c>
      <c r="F25" s="21" t="n">
        <v>4631.5</v>
      </c>
      <c r="G25" s="21" t="n">
        <v>3677.3</v>
      </c>
      <c r="H25" s="21" t="n">
        <v>2709</v>
      </c>
      <c r="I25" s="11" t="inlineStr">
        <is>
          <t>REPORTED</t>
        </is>
      </c>
      <c r="J25" s="11" t="inlineStr">
        <is>
          <t>[S2] XBRL 20-F</t>
        </is>
      </c>
    </row>
    <row r="26">
      <c r="B26" s="10" t="inlineStr">
        <is>
          <t>Contract liabilities, non-current</t>
        </is>
      </c>
      <c r="C26" s="21" t="n">
        <v>1639.9</v>
      </c>
      <c r="D26" s="21" t="n">
        <v>3225.7</v>
      </c>
      <c r="E26" s="21" t="n">
        <v>5269.9</v>
      </c>
      <c r="F26" s="21" t="n">
        <v>4825.5</v>
      </c>
      <c r="G26" s="21" t="n">
        <v>5625.4</v>
      </c>
      <c r="H26" s="21" t="n">
        <v>3366.3</v>
      </c>
      <c r="I26" s="11" t="inlineStr">
        <is>
          <t>REPORTED</t>
        </is>
      </c>
      <c r="J26" s="11" t="inlineStr">
        <is>
          <t>[S2] XBRL 20-F</t>
        </is>
      </c>
    </row>
    <row r="27">
      <c r="B27" s="10" t="inlineStr">
        <is>
          <t>Diluted weighted avg. shares (m)</t>
        </is>
      </c>
      <c r="D27" s="21" t="n">
        <v>410.4</v>
      </c>
      <c r="E27" s="21" t="n">
        <v>398</v>
      </c>
      <c r="F27" s="21" t="n">
        <v>394.1</v>
      </c>
      <c r="G27" s="21" t="n">
        <v>393.6</v>
      </c>
      <c r="H27" s="21" t="n">
        <v>388.9</v>
      </c>
      <c r="I27" s="11" t="inlineStr">
        <is>
          <t>REPORTED</t>
        </is>
      </c>
      <c r="J27" s="11" t="inlineStr">
        <is>
          <t>[S2] XBRL 20-F</t>
        </is>
      </c>
    </row>
    <row r="29">
      <c r="B29" s="14" t="inlineStr">
        <is>
          <t>Calculated</t>
        </is>
      </c>
      <c r="C29" s="15" t="n"/>
      <c r="D29" s="15" t="n"/>
      <c r="E29" s="15" t="n"/>
      <c r="F29" s="15" t="n"/>
      <c r="G29" s="15" t="n"/>
      <c r="H29" s="15" t="n"/>
      <c r="I29" s="15" t="n"/>
      <c r="J29" s="15" t="n"/>
    </row>
    <row r="30">
      <c r="B30" s="10" t="inlineStr">
        <is>
          <t>Revenue growth %</t>
        </is>
      </c>
      <c r="D30" s="26">
        <f>D6/C6-1</f>
        <v/>
      </c>
      <c r="E30" s="26">
        <f>E6/D6-1</f>
        <v/>
      </c>
      <c r="F30" s="26">
        <f>F6/E6-1</f>
        <v/>
      </c>
      <c r="G30" s="26">
        <f>G6/F6-1</f>
        <v/>
      </c>
      <c r="H30" s="26">
        <f>H6/G6-1</f>
        <v/>
      </c>
      <c r="I30" s="11" t="inlineStr">
        <is>
          <t>CALCULATED</t>
        </is>
      </c>
      <c r="J30" s="11" t="inlineStr">
        <is>
          <t>Revenue / prior-year revenue - 1</t>
        </is>
      </c>
    </row>
    <row r="31">
      <c r="B31" s="10" t="inlineStr">
        <is>
          <t>Gross margin %</t>
        </is>
      </c>
      <c r="D31" s="26">
        <f>D8/D6</f>
        <v/>
      </c>
      <c r="E31" s="26">
        <f>E8/E6</f>
        <v/>
      </c>
      <c r="F31" s="26">
        <f>F8/F6</f>
        <v/>
      </c>
      <c r="G31" s="26">
        <f>G8/G6</f>
        <v/>
      </c>
      <c r="H31" s="26">
        <f>H8/H6</f>
        <v/>
      </c>
      <c r="I31" s="11" t="inlineStr">
        <is>
          <t>CALCULATED</t>
        </is>
      </c>
      <c r="J31" s="11" t="inlineStr">
        <is>
          <t>Gross profit / revenue</t>
        </is>
      </c>
    </row>
    <row r="32">
      <c r="B32" s="3" t="inlineStr">
        <is>
          <t>EBITDA</t>
        </is>
      </c>
      <c r="C32" s="34" t="n"/>
      <c r="D32" s="35">
        <f>D11+D12</f>
        <v/>
      </c>
      <c r="E32" s="35">
        <f>E11+E12</f>
        <v/>
      </c>
      <c r="F32" s="35">
        <f>F11+F12</f>
        <v/>
      </c>
      <c r="G32" s="35">
        <f>G11+G12</f>
        <v/>
      </c>
      <c r="H32" s="35">
        <f>H11+H12</f>
        <v/>
      </c>
      <c r="I32" s="11" t="inlineStr">
        <is>
          <t>CALCULATED</t>
        </is>
      </c>
      <c r="J32" s="11" t="inlineStr">
        <is>
          <t>EBIT + D&amp;A</t>
        </is>
      </c>
    </row>
    <row r="33">
      <c r="B33" s="10" t="inlineStr">
        <is>
          <t>EBITDA margin %</t>
        </is>
      </c>
      <c r="D33" s="26">
        <f>D32/D6</f>
        <v/>
      </c>
      <c r="E33" s="26">
        <f>E32/E6</f>
        <v/>
      </c>
      <c r="F33" s="26">
        <f>F32/F6</f>
        <v/>
      </c>
      <c r="G33" s="26">
        <f>G32/G6</f>
        <v/>
      </c>
      <c r="H33" s="26">
        <f>H32/H6</f>
        <v/>
      </c>
      <c r="I33" s="11" t="inlineStr">
        <is>
          <t>CALCULATED</t>
        </is>
      </c>
      <c r="J33" s="11" t="inlineStr">
        <is>
          <t>EBITDA / revenue</t>
        </is>
      </c>
    </row>
    <row r="34">
      <c r="B34" s="10" t="inlineStr">
        <is>
          <t>EBIT margin %</t>
        </is>
      </c>
      <c r="D34" s="26">
        <f>D11/D6</f>
        <v/>
      </c>
      <c r="E34" s="26">
        <f>E11/E6</f>
        <v/>
      </c>
      <c r="F34" s="26">
        <f>F11/F6</f>
        <v/>
      </c>
      <c r="G34" s="26">
        <f>G11/G6</f>
        <v/>
      </c>
      <c r="H34" s="26">
        <f>H11/H6</f>
        <v/>
      </c>
      <c r="I34" s="11" t="inlineStr">
        <is>
          <t>CALCULATED</t>
        </is>
      </c>
      <c r="J34" s="11" t="inlineStr">
        <is>
          <t>EBIT / revenue</t>
        </is>
      </c>
    </row>
    <row r="35">
      <c r="B35" s="10" t="inlineStr">
        <is>
          <t>D&amp;A % revenue</t>
        </is>
      </c>
      <c r="D35" s="26">
        <f>D12/D6</f>
        <v/>
      </c>
      <c r="E35" s="26">
        <f>E12/E6</f>
        <v/>
      </c>
      <c r="F35" s="26">
        <f>F12/F6</f>
        <v/>
      </c>
      <c r="G35" s="26">
        <f>G12/G6</f>
        <v/>
      </c>
      <c r="H35" s="26">
        <f>H12/H6</f>
        <v/>
      </c>
      <c r="I35" s="11" t="inlineStr">
        <is>
          <t>CALCULATED</t>
        </is>
      </c>
      <c r="J35" s="11" t="inlineStr">
        <is>
          <t>D&amp;A / revenue</t>
        </is>
      </c>
    </row>
    <row r="36">
      <c r="B36" s="10" t="inlineStr">
        <is>
          <t>R&amp;D % revenue</t>
        </is>
      </c>
      <c r="D36" s="26">
        <f>D9/D6</f>
        <v/>
      </c>
      <c r="E36" s="26">
        <f>E9/E6</f>
        <v/>
      </c>
      <c r="F36" s="26">
        <f>F9/F6</f>
        <v/>
      </c>
      <c r="G36" s="26">
        <f>G9/G6</f>
        <v/>
      </c>
      <c r="H36" s="26">
        <f>H9/H6</f>
        <v/>
      </c>
      <c r="I36" s="11" t="inlineStr">
        <is>
          <t>CALCULATED</t>
        </is>
      </c>
      <c r="J36" s="11" t="inlineStr">
        <is>
          <t>R&amp;D / revenue</t>
        </is>
      </c>
    </row>
    <row r="37">
      <c r="B37" s="10" t="inlineStr">
        <is>
          <t>Effective tax rate</t>
        </is>
      </c>
      <c r="D37" s="26">
        <f>D14/D13</f>
        <v/>
      </c>
      <c r="E37" s="26">
        <f>E14/E13</f>
        <v/>
      </c>
      <c r="F37" s="26">
        <f>F14/F13</f>
        <v/>
      </c>
      <c r="G37" s="26">
        <f>G14/G13</f>
        <v/>
      </c>
      <c r="H37" s="26">
        <f>H14/H13</f>
        <v/>
      </c>
      <c r="I37" s="11" t="inlineStr">
        <is>
          <t>CALCULATED</t>
        </is>
      </c>
      <c r="J37" s="11" t="inlineStr">
        <is>
          <t>Income tax expense / income before taxes</t>
        </is>
      </c>
    </row>
    <row r="38">
      <c r="B38" s="10" t="inlineStr">
        <is>
          <t>Taxes on EBIT</t>
        </is>
      </c>
      <c r="D38" s="36">
        <f>D11*D37</f>
        <v/>
      </c>
      <c r="E38" s="36">
        <f>E11*E37</f>
        <v/>
      </c>
      <c r="F38" s="36">
        <f>F11*F37</f>
        <v/>
      </c>
      <c r="G38" s="36">
        <f>G11*G37</f>
        <v/>
      </c>
      <c r="H38" s="36">
        <f>H11*H37</f>
        <v/>
      </c>
      <c r="I38" s="11" t="inlineStr">
        <is>
          <t>CALCULATED</t>
        </is>
      </c>
      <c r="J38" s="11" t="inlineStr">
        <is>
          <t>EBIT x effective tax rate (unlevered taxes)</t>
        </is>
      </c>
    </row>
    <row r="39">
      <c r="B39" s="3" t="inlineStr">
        <is>
          <t>NOPAT</t>
        </is>
      </c>
      <c r="C39" s="34" t="n"/>
      <c r="D39" s="35">
        <f>D11-D38</f>
        <v/>
      </c>
      <c r="E39" s="35">
        <f>E11-E38</f>
        <v/>
      </c>
      <c r="F39" s="35">
        <f>F11-F38</f>
        <v/>
      </c>
      <c r="G39" s="35">
        <f>G11-G38</f>
        <v/>
      </c>
      <c r="H39" s="35">
        <f>H11-H38</f>
        <v/>
      </c>
      <c r="I39" s="11" t="inlineStr">
        <is>
          <t>CALCULATED</t>
        </is>
      </c>
      <c r="J39" s="11" t="inlineStr">
        <is>
          <t>EBIT - taxes on EBIT</t>
        </is>
      </c>
    </row>
    <row r="40">
      <c r="B40" s="10" t="inlineStr">
        <is>
          <t>Total CapEx (PP&amp;E + intangibles)</t>
        </is>
      </c>
      <c r="D40" s="36">
        <f>D16+D17</f>
        <v/>
      </c>
      <c r="E40" s="36">
        <f>E16+E17</f>
        <v/>
      </c>
      <c r="F40" s="36">
        <f>F16+F17</f>
        <v/>
      </c>
      <c r="G40" s="36">
        <f>G16+G17</f>
        <v/>
      </c>
      <c r="H40" s="36">
        <f>H16+H17</f>
        <v/>
      </c>
      <c r="I40" s="11" t="inlineStr">
        <is>
          <t>CALCULATED</t>
        </is>
      </c>
      <c r="J40" s="11" t="inlineStr"/>
    </row>
    <row r="41">
      <c r="B41" s="10" t="inlineStr">
        <is>
          <t>CapEx % revenue</t>
        </is>
      </c>
      <c r="D41" s="26">
        <f>D40/D6</f>
        <v/>
      </c>
      <c r="E41" s="26">
        <f>E40/E6</f>
        <v/>
      </c>
      <c r="F41" s="26">
        <f>F40/F6</f>
        <v/>
      </c>
      <c r="G41" s="26">
        <f>G40/G6</f>
        <v/>
      </c>
      <c r="H41" s="26">
        <f>H40/H6</f>
        <v/>
      </c>
      <c r="I41" s="11" t="inlineStr">
        <is>
          <t>CALCULATED</t>
        </is>
      </c>
      <c r="J41" s="11" t="inlineStr"/>
    </row>
    <row r="42">
      <c r="B42" s="3" t="inlineStr">
        <is>
          <t>Operating net working capital</t>
        </is>
      </c>
      <c r="C42" s="36">
        <f>(C21-C19-C20-C22)-(C23-C24)-C26</f>
        <v/>
      </c>
      <c r="D42" s="36">
        <f>(D21-D19-D20-D22)-(D23-D24)-D26</f>
        <v/>
      </c>
      <c r="E42" s="36">
        <f>(E21-E19-E20-E22)-(E23-E24)-E26</f>
        <v/>
      </c>
      <c r="F42" s="36">
        <f>(F21-F19-F20-F22)-(F23-F24)-F26</f>
        <v/>
      </c>
      <c r="G42" s="36">
        <f>(G21-G19-G20-G22)-(G23-G24)-G26</f>
        <v/>
      </c>
      <c r="H42" s="36">
        <f>(H21-H19-H20-H22)-(H23-H24)-H26</f>
        <v/>
      </c>
      <c r="I42" s="11" t="inlineStr">
        <is>
          <t>CALCULATED</t>
        </is>
      </c>
      <c r="J42" s="11" t="inlineStr">
        <is>
          <t>(Current assets - cash - STI - current loans rec.) - (current liabilities - current debt) - non-current contract liabilities</t>
        </is>
      </c>
    </row>
    <row r="43">
      <c r="B43" s="10" t="inlineStr">
        <is>
          <t>NWC % revenue</t>
        </is>
      </c>
      <c r="D43" s="26">
        <f>D42/D6</f>
        <v/>
      </c>
      <c r="E43" s="26">
        <f>E42/E6</f>
        <v/>
      </c>
      <c r="F43" s="26">
        <f>F42/F6</f>
        <v/>
      </c>
      <c r="G43" s="26">
        <f>G42/G6</f>
        <v/>
      </c>
      <c r="H43" s="26">
        <f>H42/H6</f>
        <v/>
      </c>
      <c r="I43" s="11" t="inlineStr">
        <is>
          <t>CALCULATED</t>
        </is>
      </c>
      <c r="J43" s="11" t="inlineStr">
        <is>
          <t>Negative = customers pre-fund ASML via EUV down payments</t>
        </is>
      </c>
    </row>
    <row r="44">
      <c r="B44" s="10" t="inlineStr">
        <is>
          <t>Change in NWC (increase = cash outflow)</t>
        </is>
      </c>
      <c r="D44" s="36">
        <f>D42-C42</f>
        <v/>
      </c>
      <c r="E44" s="36">
        <f>E42-D42</f>
        <v/>
      </c>
      <c r="F44" s="36">
        <f>F42-E42</f>
        <v/>
      </c>
      <c r="G44" s="36">
        <f>G42-F42</f>
        <v/>
      </c>
      <c r="H44" s="36">
        <f>H42-G42</f>
        <v/>
      </c>
      <c r="I44" s="11" t="inlineStr">
        <is>
          <t>CALCULATED</t>
        </is>
      </c>
      <c r="J44" s="11" t="inlineStr"/>
    </row>
    <row r="45">
      <c r="B45" s="3" t="inlineStr">
        <is>
          <t>Unlevered free cash flow</t>
        </is>
      </c>
      <c r="C45" s="34" t="n"/>
      <c r="D45" s="35">
        <f>D39+D12-D40-D44</f>
        <v/>
      </c>
      <c r="E45" s="35">
        <f>E39+E12-E40-E44</f>
        <v/>
      </c>
      <c r="F45" s="35">
        <f>F39+F12-F40-F44</f>
        <v/>
      </c>
      <c r="G45" s="35">
        <f>G39+G12-G40-G44</f>
        <v/>
      </c>
      <c r="H45" s="35">
        <f>H39+H12-H40-H44</f>
        <v/>
      </c>
      <c r="I45" s="11" t="inlineStr">
        <is>
          <t>CALCULATED</t>
        </is>
      </c>
      <c r="J45" s="11" t="inlineStr">
        <is>
          <t>NOPAT + D&amp;A - CapEx - change in NWC</t>
        </is>
      </c>
    </row>
    <row r="46">
      <c r="B46" s="10" t="inlineStr">
        <is>
          <t>UFCF margin %</t>
        </is>
      </c>
      <c r="D46" s="26">
        <f>D45/D6</f>
        <v/>
      </c>
      <c r="E46" s="26">
        <f>E45/E6</f>
        <v/>
      </c>
      <c r="F46" s="26">
        <f>F45/F6</f>
        <v/>
      </c>
      <c r="G46" s="26">
        <f>G45/G6</f>
        <v/>
      </c>
      <c r="H46" s="26">
        <f>H45/H6</f>
        <v/>
      </c>
      <c r="I46" s="11" t="inlineStr">
        <is>
          <t>CALCULATED</t>
        </is>
      </c>
      <c r="J46" s="11" t="inlineStr"/>
    </row>
    <row r="47">
      <c r="B47" s="10" t="inlineStr">
        <is>
          <t>UFCF / NOPAT (cash conversion)</t>
        </is>
      </c>
      <c r="D47" s="26">
        <f>D45/D39</f>
        <v/>
      </c>
      <c r="E47" s="26">
        <f>E45/E39</f>
        <v/>
      </c>
      <c r="F47" s="26">
        <f>F45/F39</f>
        <v/>
      </c>
      <c r="G47" s="26">
        <f>G45/G39</f>
        <v/>
      </c>
      <c r="H47" s="26">
        <f>H45/H39</f>
        <v/>
      </c>
      <c r="I47" s="11" t="inlineStr">
        <is>
          <t>CALCULATED</t>
        </is>
      </c>
      <c r="J47" s="11" t="inlineStr"/>
    </row>
    <row r="48">
      <c r="B48" s="10" t="inlineStr">
        <is>
          <t>Total debt</t>
        </is>
      </c>
      <c r="D48" s="36">
        <f>D24+D25</f>
        <v/>
      </c>
      <c r="E48" s="36">
        <f>E24+E25</f>
        <v/>
      </c>
      <c r="F48" s="36">
        <f>F24+F25</f>
        <v/>
      </c>
      <c r="G48" s="36">
        <f>G24+G25</f>
        <v/>
      </c>
      <c r="H48" s="36">
        <f>H24+H25</f>
        <v/>
      </c>
      <c r="I48" s="11" t="inlineStr">
        <is>
          <t>CALCULATED</t>
        </is>
      </c>
      <c r="J48" s="11" t="inlineStr"/>
    </row>
    <row r="49">
      <c r="B49" s="10" t="inlineStr">
        <is>
          <t>Net cash (cash + STI - debt)</t>
        </is>
      </c>
      <c r="D49" s="36">
        <f>D19+D20-D48</f>
        <v/>
      </c>
      <c r="E49" s="36">
        <f>E19+E20-E48</f>
        <v/>
      </c>
      <c r="F49" s="36">
        <f>F19+F20-F48</f>
        <v/>
      </c>
      <c r="G49" s="36">
        <f>G19+G20-G48</f>
        <v/>
      </c>
      <c r="H49" s="36">
        <f>H19+H20-H48</f>
        <v/>
      </c>
      <c r="I49" s="11" t="inlineStr">
        <is>
          <t>CALCULATED</t>
        </is>
      </c>
      <c r="J49" s="11" t="inlineStr"/>
    </row>
    <row r="50">
      <c r="B50" s="10" t="inlineStr">
        <is>
          <t>Check: gross profit - (sales - COGS)</t>
        </is>
      </c>
      <c r="D50" s="37">
        <f>D8-(D6-D7)</f>
        <v/>
      </c>
      <c r="E50" s="37">
        <f>E8-(E6-E7)</f>
        <v/>
      </c>
      <c r="F50" s="37">
        <f>F8-(F6-F7)</f>
        <v/>
      </c>
      <c r="G50" s="37">
        <f>G8-(G6-G7)</f>
        <v/>
      </c>
      <c r="H50" s="37">
        <f>H8-(H6-H7)</f>
        <v/>
      </c>
      <c r="I50" s="11" t="inlineStr">
        <is>
          <t>CALCULATED</t>
        </is>
      </c>
      <c r="J50" s="11" t="inlineStr">
        <is>
          <t>Should be 0</t>
        </is>
      </c>
    </row>
    <row r="52">
      <c r="B52" s="14" t="inlineStr">
        <is>
          <t>Summary FY21-FY25</t>
        </is>
      </c>
      <c r="C52" s="15" t="n"/>
      <c r="D52" s="15" t="n"/>
      <c r="E52" s="15" t="n"/>
      <c r="F52" s="15" t="n"/>
      <c r="G52" s="15" t="n"/>
      <c r="H52" s="15" t="n"/>
      <c r="I52" s="15" t="n"/>
      <c r="J52" s="15" t="n"/>
    </row>
    <row r="53">
      <c r="B53" s="10" t="inlineStr">
        <is>
          <t>Revenue CAGR FY20-FY25</t>
        </is>
      </c>
      <c r="C53" s="38">
        <f>(H6/C6)^(1/5)-1</f>
        <v/>
      </c>
    </row>
    <row r="54">
      <c r="B54" s="10" t="inlineStr">
        <is>
          <t>Average gross margin</t>
        </is>
      </c>
      <c r="C54" s="38">
        <f>AVERAGE(D31:H31)</f>
        <v/>
      </c>
    </row>
    <row r="55">
      <c r="B55" s="10" t="inlineStr">
        <is>
          <t>Average EBITDA margin</t>
        </is>
      </c>
      <c r="C55" s="38">
        <f>AVERAGE(D33:H33)</f>
        <v/>
      </c>
    </row>
    <row r="56">
      <c r="B56" s="10" t="inlineStr">
        <is>
          <t>Average effective tax rate</t>
        </is>
      </c>
      <c r="C56" s="38">
        <f>AVERAGE(D37:H37)</f>
        <v/>
      </c>
    </row>
    <row r="57">
      <c r="B57" s="10" t="inlineStr">
        <is>
          <t>Average CapEx % revenue</t>
        </is>
      </c>
      <c r="C57" s="38">
        <f>AVERAGE(D41:H41)</f>
        <v/>
      </c>
    </row>
    <row r="58">
      <c r="B58" s="10" t="inlineStr">
        <is>
          <t>Average NWC % revenue</t>
        </is>
      </c>
      <c r="C58" s="38">
        <f>AVERAGE(D43:H43)</f>
        <v/>
      </c>
    </row>
    <row r="59">
      <c r="B59" s="10" t="inlineStr">
        <is>
          <t>Cumulative UFCF FY21-FY25</t>
        </is>
      </c>
      <c r="C59" s="39">
        <f>SUM(D45:H45)</f>
        <v/>
      </c>
    </row>
    <row r="61">
      <c r="B61" s="14" t="inlineStr">
        <is>
          <t>Trend analysis: what matters for the forecast</t>
        </is>
      </c>
      <c r="C61" s="15" t="n"/>
      <c r="D61" s="15" t="n"/>
      <c r="E61" s="15" t="n"/>
      <c r="F61" s="15" t="n"/>
      <c r="G61" s="15" t="n"/>
      <c r="H61" s="15" t="n"/>
      <c r="I61" s="15" t="n"/>
      <c r="J61" s="15" t="n"/>
    </row>
    <row r="62">
      <c r="B62" s="10" t="inlineStr">
        <is>
          <t>1. Growth is strong but cyclical: revenue rose from EUR 18.6bn (FY21) to EUR 32.7bn (FY25), a 19% CAGR since FY20, but FY24 grew only 2.6% (a digestion year). The forecast must therefore fade growth rather than extrapolate it.</t>
        </is>
      </c>
    </row>
    <row r="63">
      <c r="B63" s="10" t="inlineStr">
        <is>
          <t>2. Margins expand with EUV mix and scale: gross margin 50.5% (FY22) to 52.8% (FY25); EBITDA margin 33.5% to 37.7%. R&amp;D stays at ~14-15% of sales, so operating leverage drives the margin path.</t>
        </is>
      </c>
    </row>
    <row r="64">
      <c r="B64" s="10" t="inlineStr">
        <is>
          <t>3. The tax rate is low and stable: ETR 15.0%-18.6% thanks to the Dutch innovation box.</t>
        </is>
      </c>
    </row>
    <row r="65">
      <c r="B65" s="10" t="inlineStr">
        <is>
          <t>4. Capex is light but lumpy: 5.0%-8.0% of sales; the FY23-24 capacity build (EUV, High-NA) has now normalised.</t>
        </is>
      </c>
    </row>
    <row r="66">
      <c r="B66" s="10" t="inlineStr">
        <is>
          <t>5. Working capital is the swing factor: NWC is negative (-27% of FY25 sales) because customers prepay EUV systems. Swings of EUR 2-5bn a year (e.g. a FY23 outflow when down payments were consumed) make reported FCF far more volatile than NOPAT.</t>
        </is>
      </c>
    </row>
    <row r="67">
      <c r="B67" s="10" t="inlineStr">
        <is>
          <t>6. The balance sheet is net cash, and buybacks plus dividends (EUR 8.5bn in FY25) return most FCF, so the EV-to-equity bridge is small relative to EV.</t>
        </is>
      </c>
    </row>
  </sheetData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tabColor rgb="002B4BFF"/>
    <outlinePr summaryBelow="1" summaryRight="1"/>
    <pageSetUpPr fitToPage="1"/>
  </sheetPr>
  <dimension ref="B1:M4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60" customWidth="1" min="13" max="13"/>
  </cols>
  <sheetData>
    <row r="1">
      <c r="B1" s="12" t="inlineStr">
        <is>
          <t>Operating Forecast</t>
        </is>
      </c>
    </row>
    <row r="2">
      <c r="B2" s="13" t="inlineStr">
        <is>
          <t>FY21A-FY25A linked from Historical (green); FY26E-FY30E driven by the live scenario on Assumptions. EUR millions.</t>
        </is>
      </c>
    </row>
    <row r="4">
      <c r="B4" s="24" t="inlineStr">
        <is>
          <t>EUR m</t>
        </is>
      </c>
      <c r="C4" s="33" t="inlineStr">
        <is>
          <t>FY21A</t>
        </is>
      </c>
      <c r="D4" s="33" t="inlineStr">
        <is>
          <t>FY22A</t>
        </is>
      </c>
      <c r="E4" s="33" t="inlineStr">
        <is>
          <t>FY23A</t>
        </is>
      </c>
      <c r="F4" s="33" t="inlineStr">
        <is>
          <t>FY24A</t>
        </is>
      </c>
      <c r="G4" s="33" t="inlineStr">
        <is>
          <t>FY25A</t>
        </is>
      </c>
      <c r="H4" s="40" t="inlineStr">
        <is>
          <t>FY26E</t>
        </is>
      </c>
      <c r="I4" s="40" t="inlineStr">
        <is>
          <t>FY27E</t>
        </is>
      </c>
      <c r="J4" s="40" t="inlineStr">
        <is>
          <t>FY28E</t>
        </is>
      </c>
      <c r="K4" s="40" t="inlineStr">
        <is>
          <t>FY29E</t>
        </is>
      </c>
      <c r="L4" s="40" t="inlineStr">
        <is>
          <t>FY30E</t>
        </is>
      </c>
      <c r="M4" s="25" t="inlineStr">
        <is>
          <t>Logic</t>
        </is>
      </c>
    </row>
    <row r="5">
      <c r="B5" s="11" t="inlineStr">
        <is>
          <t>Scenario:</t>
        </is>
      </c>
      <c r="C5" s="3">
        <f>Assumptions!$C$9</f>
        <v/>
      </c>
    </row>
    <row r="7">
      <c r="B7" s="3" t="inlineStr">
        <is>
          <t>Revenue</t>
        </is>
      </c>
      <c r="C7" s="41">
        <f>Historical!D6</f>
        <v/>
      </c>
      <c r="D7" s="41">
        <f>Historical!E6</f>
        <v/>
      </c>
      <c r="E7" s="41">
        <f>Historical!F6</f>
        <v/>
      </c>
      <c r="F7" s="41">
        <f>Historical!G6</f>
        <v/>
      </c>
      <c r="G7" s="41">
        <f>Historical!H6</f>
        <v/>
      </c>
      <c r="H7" s="39">
        <f>G7*(1+H8)</f>
        <v/>
      </c>
      <c r="I7" s="39">
        <f>H7*(1+I8)</f>
        <v/>
      </c>
      <c r="J7" s="39">
        <f>I7*(1+J8)</f>
        <v/>
      </c>
      <c r="K7" s="39">
        <f>J7*(1+K8)</f>
        <v/>
      </c>
      <c r="L7" s="39">
        <f>K7*(1+L8)</f>
        <v/>
      </c>
      <c r="M7" s="11" t="inlineStr">
        <is>
          <t>Prior year x (1 + growth)</t>
        </is>
      </c>
    </row>
    <row r="8">
      <c r="B8" s="10" t="inlineStr">
        <is>
          <t xml:space="preserve">  Revenue growth %</t>
        </is>
      </c>
      <c r="C8" s="42">
        <f>Historical!D30</f>
        <v/>
      </c>
      <c r="D8" s="42">
        <f>Historical!E30</f>
        <v/>
      </c>
      <c r="E8" s="42">
        <f>Historical!F30</f>
        <v/>
      </c>
      <c r="F8" s="42">
        <f>Historical!G30</f>
        <v/>
      </c>
      <c r="G8" s="42">
        <f>Historical!H30</f>
        <v/>
      </c>
      <c r="H8" s="42">
        <f>Assumptions!E35</f>
        <v/>
      </c>
      <c r="I8" s="42">
        <f>Assumptions!F35</f>
        <v/>
      </c>
      <c r="J8" s="42">
        <f>Assumptions!G35</f>
        <v/>
      </c>
      <c r="K8" s="42">
        <f>Assumptions!H35</f>
        <v/>
      </c>
      <c r="L8" s="42">
        <f>Assumptions!I35</f>
        <v/>
      </c>
      <c r="M8" s="11" t="inlineStr"/>
    </row>
    <row r="10">
      <c r="B10" s="10" t="inlineStr">
        <is>
          <t>Gross profit</t>
        </is>
      </c>
      <c r="C10" s="41">
        <f>Historical!D8</f>
        <v/>
      </c>
      <c r="D10" s="41">
        <f>Historical!E8</f>
        <v/>
      </c>
      <c r="E10" s="41">
        <f>Historical!F8</f>
        <v/>
      </c>
      <c r="F10" s="41">
        <f>Historical!G8</f>
        <v/>
      </c>
      <c r="G10" s="41">
        <f>Historical!H8</f>
        <v/>
      </c>
      <c r="H10" s="36">
        <f>H7*H11</f>
        <v/>
      </c>
      <c r="I10" s="36">
        <f>I7*I11</f>
        <v/>
      </c>
      <c r="J10" s="36">
        <f>J7*J11</f>
        <v/>
      </c>
      <c r="K10" s="36">
        <f>K7*K11</f>
        <v/>
      </c>
      <c r="L10" s="36">
        <f>L7*L11</f>
        <v/>
      </c>
      <c r="M10" s="11" t="inlineStr">
        <is>
          <t>Revenue x gross margin</t>
        </is>
      </c>
    </row>
    <row r="11">
      <c r="B11" s="10" t="inlineStr">
        <is>
          <t xml:space="preserve">  Gross margin %</t>
        </is>
      </c>
      <c r="C11" s="42">
        <f>Historical!D31</f>
        <v/>
      </c>
      <c r="D11" s="42">
        <f>Historical!E31</f>
        <v/>
      </c>
      <c r="E11" s="42">
        <f>Historical!F31</f>
        <v/>
      </c>
      <c r="F11" s="42">
        <f>Historical!G31</f>
        <v/>
      </c>
      <c r="G11" s="42">
        <f>Historical!H31</f>
        <v/>
      </c>
      <c r="H11" s="42">
        <f>Assumptions!E40</f>
        <v/>
      </c>
      <c r="I11" s="42">
        <f>Assumptions!F40</f>
        <v/>
      </c>
      <c r="J11" s="42">
        <f>Assumptions!G40</f>
        <v/>
      </c>
      <c r="K11" s="42">
        <f>Assumptions!H40</f>
        <v/>
      </c>
      <c r="L11" s="42">
        <f>Assumptions!I40</f>
        <v/>
      </c>
      <c r="M11" s="11" t="inlineStr"/>
    </row>
    <row r="13">
      <c r="B13" s="3" t="inlineStr">
        <is>
          <t>EBITDA</t>
        </is>
      </c>
      <c r="C13" s="43">
        <f>Historical!D32</f>
        <v/>
      </c>
      <c r="D13" s="43">
        <f>Historical!E32</f>
        <v/>
      </c>
      <c r="E13" s="43">
        <f>Historical!F32</f>
        <v/>
      </c>
      <c r="F13" s="43">
        <f>Historical!G32</f>
        <v/>
      </c>
      <c r="G13" s="43">
        <f>Historical!H32</f>
        <v/>
      </c>
      <c r="H13" s="35">
        <f>H7*H14</f>
        <v/>
      </c>
      <c r="I13" s="35">
        <f>I7*I14</f>
        <v/>
      </c>
      <c r="J13" s="35">
        <f>J7*J14</f>
        <v/>
      </c>
      <c r="K13" s="35">
        <f>K7*K14</f>
        <v/>
      </c>
      <c r="L13" s="35">
        <f>L7*L14</f>
        <v/>
      </c>
      <c r="M13" s="11" t="inlineStr">
        <is>
          <t>Revenue x EBITDA margin</t>
        </is>
      </c>
    </row>
    <row r="14">
      <c r="B14" s="10" t="inlineStr">
        <is>
          <t xml:space="preserve">  EBITDA margin %</t>
        </is>
      </c>
      <c r="C14" s="42">
        <f>Historical!D33</f>
        <v/>
      </c>
      <c r="D14" s="42">
        <f>Historical!E33</f>
        <v/>
      </c>
      <c r="E14" s="42">
        <f>Historical!F33</f>
        <v/>
      </c>
      <c r="F14" s="42">
        <f>Historical!G33</f>
        <v/>
      </c>
      <c r="G14" s="42">
        <f>Historical!H33</f>
        <v/>
      </c>
      <c r="H14" s="42">
        <f>Assumptions!E45</f>
        <v/>
      </c>
      <c r="I14" s="42">
        <f>Assumptions!F45</f>
        <v/>
      </c>
      <c r="J14" s="42">
        <f>Assumptions!G45</f>
        <v/>
      </c>
      <c r="K14" s="42">
        <f>Assumptions!H45</f>
        <v/>
      </c>
      <c r="L14" s="42">
        <f>Assumptions!I45</f>
        <v/>
      </c>
      <c r="M14" s="11" t="inlineStr"/>
    </row>
    <row r="16">
      <c r="B16" s="10" t="inlineStr">
        <is>
          <t>Depreciation &amp; amortization</t>
        </is>
      </c>
      <c r="C16" s="41">
        <f>Historical!D12</f>
        <v/>
      </c>
      <c r="D16" s="41">
        <f>Historical!E12</f>
        <v/>
      </c>
      <c r="E16" s="41">
        <f>Historical!F12</f>
        <v/>
      </c>
      <c r="F16" s="41">
        <f>Historical!G12</f>
        <v/>
      </c>
      <c r="G16" s="41">
        <f>Historical!H12</f>
        <v/>
      </c>
      <c r="H16" s="36">
        <f>H7*H17</f>
        <v/>
      </c>
      <c r="I16" s="36">
        <f>I7*I17</f>
        <v/>
      </c>
      <c r="J16" s="36">
        <f>J7*J17</f>
        <v/>
      </c>
      <c r="K16" s="36">
        <f>K7*K17</f>
        <v/>
      </c>
      <c r="L16" s="36">
        <f>L7*L17</f>
        <v/>
      </c>
      <c r="M16" s="11" t="inlineStr">
        <is>
          <t>Revenue x D&amp;A %</t>
        </is>
      </c>
    </row>
    <row r="17">
      <c r="B17" s="10" t="inlineStr">
        <is>
          <t xml:space="preserve">  D&amp;A % revenue</t>
        </is>
      </c>
      <c r="C17" s="42">
        <f>Historical!D35</f>
        <v/>
      </c>
      <c r="D17" s="42">
        <f>Historical!E35</f>
        <v/>
      </c>
      <c r="E17" s="42">
        <f>Historical!F35</f>
        <v/>
      </c>
      <c r="F17" s="42">
        <f>Historical!G35</f>
        <v/>
      </c>
      <c r="G17" s="42">
        <f>Historical!H35</f>
        <v/>
      </c>
      <c r="H17" s="42">
        <f>Assumptions!E50</f>
        <v/>
      </c>
      <c r="I17" s="42">
        <f>Assumptions!F50</f>
        <v/>
      </c>
      <c r="J17" s="42">
        <f>Assumptions!G50</f>
        <v/>
      </c>
      <c r="K17" s="42">
        <f>Assumptions!H50</f>
        <v/>
      </c>
      <c r="L17" s="42">
        <f>Assumptions!I50</f>
        <v/>
      </c>
      <c r="M17" s="11" t="inlineStr"/>
    </row>
    <row r="19">
      <c r="B19" s="3" t="inlineStr">
        <is>
          <t>EBIT</t>
        </is>
      </c>
      <c r="C19" s="41">
        <f>Historical!D11</f>
        <v/>
      </c>
      <c r="D19" s="41">
        <f>Historical!E11</f>
        <v/>
      </c>
      <c r="E19" s="41">
        <f>Historical!F11</f>
        <v/>
      </c>
      <c r="F19" s="41">
        <f>Historical!G11</f>
        <v/>
      </c>
      <c r="G19" s="41">
        <f>Historical!H11</f>
        <v/>
      </c>
      <c r="H19" s="39">
        <f>H13-H16</f>
        <v/>
      </c>
      <c r="I19" s="39">
        <f>I13-I16</f>
        <v/>
      </c>
      <c r="J19" s="39">
        <f>J13-J16</f>
        <v/>
      </c>
      <c r="K19" s="39">
        <f>K13-K16</f>
        <v/>
      </c>
      <c r="L19" s="39">
        <f>L13-L16</f>
        <v/>
      </c>
      <c r="M19" s="11" t="inlineStr">
        <is>
          <t>EBITDA - D&amp;A</t>
        </is>
      </c>
    </row>
    <row r="20">
      <c r="B20" s="10" t="inlineStr">
        <is>
          <t xml:space="preserve">  EBIT margin %</t>
        </is>
      </c>
      <c r="C20" s="42">
        <f>Historical!D34</f>
        <v/>
      </c>
      <c r="D20" s="42">
        <f>Historical!E34</f>
        <v/>
      </c>
      <c r="E20" s="42">
        <f>Historical!F34</f>
        <v/>
      </c>
      <c r="F20" s="42">
        <f>Historical!G34</f>
        <v/>
      </c>
      <c r="G20" s="42">
        <f>Historical!H34</f>
        <v/>
      </c>
      <c r="H20" s="26">
        <f>H19/H7</f>
        <v/>
      </c>
      <c r="I20" s="26">
        <f>I19/I7</f>
        <v/>
      </c>
      <c r="J20" s="26">
        <f>J19/J7</f>
        <v/>
      </c>
      <c r="K20" s="26">
        <f>K19/K7</f>
        <v/>
      </c>
      <c r="L20" s="26">
        <f>L19/L7</f>
        <v/>
      </c>
      <c r="M20" s="11" t="inlineStr"/>
    </row>
    <row r="22">
      <c r="B22" s="10" t="inlineStr">
        <is>
          <t>Taxes on EBIT</t>
        </is>
      </c>
      <c r="C22" s="41">
        <f>Historical!D38</f>
        <v/>
      </c>
      <c r="D22" s="41">
        <f>Historical!E38</f>
        <v/>
      </c>
      <c r="E22" s="41">
        <f>Historical!F38</f>
        <v/>
      </c>
      <c r="F22" s="41">
        <f>Historical!G38</f>
        <v/>
      </c>
      <c r="G22" s="41">
        <f>Historical!H38</f>
        <v/>
      </c>
      <c r="H22" s="36">
        <f>H19*H23</f>
        <v/>
      </c>
      <c r="I22" s="36">
        <f>I19*I23</f>
        <v/>
      </c>
      <c r="J22" s="36">
        <f>J19*J23</f>
        <v/>
      </c>
      <c r="K22" s="36">
        <f>K19*K23</f>
        <v/>
      </c>
      <c r="L22" s="36">
        <f>L19*L23</f>
        <v/>
      </c>
      <c r="M22" s="11" t="inlineStr">
        <is>
          <t>EBIT x tax rate</t>
        </is>
      </c>
    </row>
    <row r="23">
      <c r="B23" s="10" t="inlineStr">
        <is>
          <t xml:space="preserve">  Tax rate</t>
        </is>
      </c>
      <c r="C23" s="42">
        <f>Historical!D37</f>
        <v/>
      </c>
      <c r="D23" s="42">
        <f>Historical!E37</f>
        <v/>
      </c>
      <c r="E23" s="42">
        <f>Historical!F37</f>
        <v/>
      </c>
      <c r="F23" s="42">
        <f>Historical!G37</f>
        <v/>
      </c>
      <c r="G23" s="42">
        <f>Historical!H37</f>
        <v/>
      </c>
      <c r="H23" s="42">
        <f>Assumptions!E65</f>
        <v/>
      </c>
      <c r="I23" s="42">
        <f>Assumptions!F65</f>
        <v/>
      </c>
      <c r="J23" s="42">
        <f>Assumptions!G65</f>
        <v/>
      </c>
      <c r="K23" s="42">
        <f>Assumptions!H65</f>
        <v/>
      </c>
      <c r="L23" s="42">
        <f>Assumptions!I65</f>
        <v/>
      </c>
      <c r="M23" s="11" t="inlineStr"/>
    </row>
    <row r="24">
      <c r="B24" s="3" t="inlineStr">
        <is>
          <t>NOPAT</t>
        </is>
      </c>
      <c r="C24" s="43">
        <f>Historical!D39</f>
        <v/>
      </c>
      <c r="D24" s="43">
        <f>Historical!E39</f>
        <v/>
      </c>
      <c r="E24" s="43">
        <f>Historical!F39</f>
        <v/>
      </c>
      <c r="F24" s="43">
        <f>Historical!G39</f>
        <v/>
      </c>
      <c r="G24" s="43">
        <f>Historical!H39</f>
        <v/>
      </c>
      <c r="H24" s="35">
        <f>H19-H22</f>
        <v/>
      </c>
      <c r="I24" s="35">
        <f>I19-I22</f>
        <v/>
      </c>
      <c r="J24" s="35">
        <f>J19-J22</f>
        <v/>
      </c>
      <c r="K24" s="35">
        <f>K19-K22</f>
        <v/>
      </c>
      <c r="L24" s="35">
        <f>L19-L22</f>
        <v/>
      </c>
      <c r="M24" s="11" t="inlineStr">
        <is>
          <t>EBIT - taxes</t>
        </is>
      </c>
    </row>
    <row r="26">
      <c r="B26" s="10" t="inlineStr">
        <is>
          <t>Capital expenditures</t>
        </is>
      </c>
      <c r="C26" s="41">
        <f>Historical!D40</f>
        <v/>
      </c>
      <c r="D26" s="41">
        <f>Historical!E40</f>
        <v/>
      </c>
      <c r="E26" s="41">
        <f>Historical!F40</f>
        <v/>
      </c>
      <c r="F26" s="41">
        <f>Historical!G40</f>
        <v/>
      </c>
      <c r="G26" s="41">
        <f>Historical!H40</f>
        <v/>
      </c>
      <c r="H26" s="36">
        <f>H7*H27</f>
        <v/>
      </c>
      <c r="I26" s="36">
        <f>I7*I27</f>
        <v/>
      </c>
      <c r="J26" s="36">
        <f>J7*J27</f>
        <v/>
      </c>
      <c r="K26" s="36">
        <f>K7*K27</f>
        <v/>
      </c>
      <c r="L26" s="36">
        <f>L7*L27</f>
        <v/>
      </c>
      <c r="M26" s="11" t="inlineStr">
        <is>
          <t>Revenue x CapEx %</t>
        </is>
      </c>
    </row>
    <row r="27">
      <c r="B27" s="10" t="inlineStr">
        <is>
          <t xml:space="preserve">  CapEx % revenue</t>
        </is>
      </c>
      <c r="C27" s="42">
        <f>Historical!D41</f>
        <v/>
      </c>
      <c r="D27" s="42">
        <f>Historical!E41</f>
        <v/>
      </c>
      <c r="E27" s="42">
        <f>Historical!F41</f>
        <v/>
      </c>
      <c r="F27" s="42">
        <f>Historical!G41</f>
        <v/>
      </c>
      <c r="G27" s="42">
        <f>Historical!H41</f>
        <v/>
      </c>
      <c r="H27" s="42">
        <f>Assumptions!E55</f>
        <v/>
      </c>
      <c r="I27" s="42">
        <f>Assumptions!F55</f>
        <v/>
      </c>
      <c r="J27" s="42">
        <f>Assumptions!G55</f>
        <v/>
      </c>
      <c r="K27" s="42">
        <f>Assumptions!H55</f>
        <v/>
      </c>
      <c r="L27" s="42">
        <f>Assumptions!I55</f>
        <v/>
      </c>
      <c r="M27" s="11" t="inlineStr"/>
    </row>
    <row r="29">
      <c r="B29" s="10" t="inlineStr">
        <is>
          <t>Net working capital</t>
        </is>
      </c>
      <c r="C29" s="41">
        <f>Historical!D42</f>
        <v/>
      </c>
      <c r="D29" s="41">
        <f>Historical!E42</f>
        <v/>
      </c>
      <c r="E29" s="41">
        <f>Historical!F42</f>
        <v/>
      </c>
      <c r="F29" s="41">
        <f>Historical!G42</f>
        <v/>
      </c>
      <c r="G29" s="41">
        <f>Historical!H42</f>
        <v/>
      </c>
      <c r="H29" s="36">
        <f>H7*H30</f>
        <v/>
      </c>
      <c r="I29" s="36">
        <f>I7*I30</f>
        <v/>
      </c>
      <c r="J29" s="36">
        <f>J7*J30</f>
        <v/>
      </c>
      <c r="K29" s="36">
        <f>K7*K30</f>
        <v/>
      </c>
      <c r="L29" s="36">
        <f>L7*L30</f>
        <v/>
      </c>
      <c r="M29" s="11" t="inlineStr">
        <is>
          <t>Revenue x NWC %</t>
        </is>
      </c>
    </row>
    <row r="30">
      <c r="B30" s="10" t="inlineStr">
        <is>
          <t xml:space="preserve">  NWC % revenue</t>
        </is>
      </c>
      <c r="C30" s="42">
        <f>Historical!D43</f>
        <v/>
      </c>
      <c r="D30" s="42">
        <f>Historical!E43</f>
        <v/>
      </c>
      <c r="E30" s="42">
        <f>Historical!F43</f>
        <v/>
      </c>
      <c r="F30" s="42">
        <f>Historical!G43</f>
        <v/>
      </c>
      <c r="G30" s="42">
        <f>Historical!H43</f>
        <v/>
      </c>
      <c r="H30" s="42">
        <f>Assumptions!E60</f>
        <v/>
      </c>
      <c r="I30" s="42">
        <f>Assumptions!F60</f>
        <v/>
      </c>
      <c r="J30" s="42">
        <f>Assumptions!G60</f>
        <v/>
      </c>
      <c r="K30" s="42">
        <f>Assumptions!H60</f>
        <v/>
      </c>
      <c r="L30" s="42">
        <f>Assumptions!I60</f>
        <v/>
      </c>
      <c r="M30" s="11" t="inlineStr"/>
    </row>
    <row r="31">
      <c r="B31" s="10" t="inlineStr">
        <is>
          <t>Change in NWC (increase = outflow)</t>
        </is>
      </c>
      <c r="C31" s="41">
        <f>Historical!D44</f>
        <v/>
      </c>
      <c r="D31" s="41">
        <f>Historical!E44</f>
        <v/>
      </c>
      <c r="E31" s="41">
        <f>Historical!F44</f>
        <v/>
      </c>
      <c r="F31" s="41">
        <f>Historical!G44</f>
        <v/>
      </c>
      <c r="G31" s="41">
        <f>Historical!H44</f>
        <v/>
      </c>
      <c r="H31" s="36">
        <f>H29-G29</f>
        <v/>
      </c>
      <c r="I31" s="36">
        <f>I29-H29</f>
        <v/>
      </c>
      <c r="J31" s="36">
        <f>J29-I29</f>
        <v/>
      </c>
      <c r="K31" s="36">
        <f>K29-J29</f>
        <v/>
      </c>
      <c r="L31" s="36">
        <f>L29-K29</f>
        <v/>
      </c>
      <c r="M31" s="11" t="inlineStr">
        <is>
          <t>NWC - prior NWC</t>
        </is>
      </c>
    </row>
    <row r="33">
      <c r="B33" s="3" t="inlineStr">
        <is>
          <t>Unlevered free cash flow</t>
        </is>
      </c>
      <c r="C33" s="44">
        <f>Historical!D45</f>
        <v/>
      </c>
      <c r="D33" s="44">
        <f>Historical!E45</f>
        <v/>
      </c>
      <c r="E33" s="44">
        <f>Historical!F45</f>
        <v/>
      </c>
      <c r="F33" s="44">
        <f>Historical!G45</f>
        <v/>
      </c>
      <c r="G33" s="44">
        <f>Historical!H45</f>
        <v/>
      </c>
      <c r="H33" s="45">
        <f>H24+H16-H26-H31</f>
        <v/>
      </c>
      <c r="I33" s="45">
        <f>I24+I16-I26-I31</f>
        <v/>
      </c>
      <c r="J33" s="45">
        <f>J24+J16-J26-J31</f>
        <v/>
      </c>
      <c r="K33" s="45">
        <f>K24+K16-K26-K31</f>
        <v/>
      </c>
      <c r="L33" s="45">
        <f>L24+L16-L26-L31</f>
        <v/>
      </c>
      <c r="M33" s="11" t="inlineStr">
        <is>
          <t>NOPAT + D&amp;A - CapEx - change in NWC</t>
        </is>
      </c>
    </row>
    <row r="34">
      <c r="B34" s="10" t="inlineStr">
        <is>
          <t xml:space="preserve">  UFCF margin %</t>
        </is>
      </c>
      <c r="C34" s="42">
        <f>Historical!D46</f>
        <v/>
      </c>
      <c r="D34" s="42">
        <f>Historical!E46</f>
        <v/>
      </c>
      <c r="E34" s="42">
        <f>Historical!F46</f>
        <v/>
      </c>
      <c r="F34" s="42">
        <f>Historical!G46</f>
        <v/>
      </c>
      <c r="G34" s="42">
        <f>Historical!H46</f>
        <v/>
      </c>
      <c r="H34" s="26">
        <f>H33/H7</f>
        <v/>
      </c>
      <c r="I34" s="26">
        <f>I33/I7</f>
        <v/>
      </c>
      <c r="J34" s="26">
        <f>J33/J7</f>
        <v/>
      </c>
      <c r="K34" s="26">
        <f>K33/K7</f>
        <v/>
      </c>
      <c r="L34" s="26">
        <f>L33/L7</f>
        <v/>
      </c>
      <c r="M34" s="11" t="inlineStr"/>
    </row>
    <row r="36">
      <c r="B36" s="10" t="inlineStr">
        <is>
          <t>Memo: implied opex % (GM - EBIT margin)</t>
        </is>
      </c>
      <c r="C36" s="26">
        <f>C11-C20</f>
        <v/>
      </c>
      <c r="D36" s="26">
        <f>D11-D20</f>
        <v/>
      </c>
      <c r="E36" s="26">
        <f>E11-E20</f>
        <v/>
      </c>
      <c r="F36" s="26">
        <f>F11-F20</f>
        <v/>
      </c>
      <c r="G36" s="26">
        <f>G11-G20</f>
        <v/>
      </c>
      <c r="H36" s="26">
        <f>H11-H20</f>
        <v/>
      </c>
      <c r="I36" s="26">
        <f>I11-I20</f>
        <v/>
      </c>
      <c r="J36" s="26">
        <f>J11-J20</f>
        <v/>
      </c>
      <c r="K36" s="26">
        <f>K11-K20</f>
        <v/>
      </c>
      <c r="L36" s="26">
        <f>L11-L20</f>
        <v/>
      </c>
      <c r="M36" s="11" t="inlineStr">
        <is>
          <t>Sanity check: R&amp;D + SG&amp;A ~ 16-19% historically</t>
        </is>
      </c>
    </row>
    <row r="38">
      <c r="B38" s="3" t="inlineStr">
        <is>
          <t>Revenue CAGR FY25A-FY30E</t>
        </is>
      </c>
      <c r="C38" s="38">
        <f>(L7/G7)^(1/5)-1</f>
        <v/>
      </c>
    </row>
    <row r="39">
      <c r="B39" s="3" t="inlineStr">
        <is>
          <t>Average forecast EBITDA margin</t>
        </is>
      </c>
      <c r="C39" s="38">
        <f>AVERAGE(H14:L14)</f>
        <v/>
      </c>
    </row>
    <row r="40">
      <c r="B40" s="10" t="inlineStr">
        <is>
          <t>FY30E revenue vs 2030 company range (EUR 44-60bn) [S10]</t>
        </is>
      </c>
      <c r="C40" s="3">
        <f>IF(L7&gt;60000,"Above range",IF(L7&lt;44000,"Below range","Within range"))</f>
        <v/>
      </c>
    </row>
  </sheetData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tabColor rgb="002B4BFF"/>
    <outlinePr summaryBelow="1" summaryRight="1"/>
    <pageSetUpPr fitToPage="1"/>
  </sheetPr>
  <dimension ref="B1:D3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4" customWidth="1" min="2" max="2"/>
    <col width="14" customWidth="1" min="3" max="3"/>
    <col width="80" customWidth="1" min="4" max="4"/>
  </cols>
  <sheetData>
    <row r="1">
      <c r="B1" s="12" t="inlineStr">
        <is>
          <t>Weighted Average Cost of Capital</t>
        </is>
      </c>
    </row>
    <row r="2">
      <c r="B2" s="13" t="inlineStr">
        <is>
          <t>CAPM cost of equity, market-value weights. Inputs are linked from Assumptions (green).</t>
        </is>
      </c>
    </row>
    <row r="5">
      <c r="B5" s="14" t="inlineStr">
        <is>
          <t>Cost of equity</t>
        </is>
      </c>
      <c r="C5" s="15" t="n"/>
      <c r="D5" s="15" t="n"/>
    </row>
    <row r="6">
      <c r="B6" s="10" t="inlineStr">
        <is>
          <t>Risk-free rate</t>
        </is>
      </c>
      <c r="C6" s="46">
        <f>Assumptions!$C$22</f>
        <v/>
      </c>
      <c r="D6" s="11" t="inlineStr">
        <is>
          <t>10Y German Bund: EUR, long-duration, matches EUR cash flows</t>
        </is>
      </c>
    </row>
    <row r="7">
      <c r="B7" s="10" t="inlineStr">
        <is>
          <t>Regression beta (5Y monthly)</t>
        </is>
      </c>
      <c r="C7" s="47">
        <f>Assumptions!$C$24</f>
        <v/>
      </c>
      <c r="D7" s="11" t="inlineStr">
        <is>
          <t>Observed vs. market index; noisy for a single stock</t>
        </is>
      </c>
    </row>
    <row r="8">
      <c r="B8" s="10" t="inlineStr">
        <is>
          <t>Industry unlevered beta</t>
        </is>
      </c>
      <c r="C8" s="47">
        <f>Assumptions!$C$25</f>
        <v/>
      </c>
      <c r="D8" s="11" t="inlineStr">
        <is>
          <t>Semiconductor equipment peers, cash-corrected (Damodaran)</t>
        </is>
      </c>
    </row>
    <row r="9">
      <c r="B9" s="10" t="inlineStr">
        <is>
          <t>ASML market D/E</t>
        </is>
      </c>
      <c r="C9" s="48">
        <f>C27/C26</f>
        <v/>
      </c>
      <c r="D9" s="11" t="inlineStr">
        <is>
          <t>Debt / market capitalisation</t>
        </is>
      </c>
    </row>
    <row r="10">
      <c r="B10" s="10" t="inlineStr">
        <is>
          <t>Relevered industry beta</t>
        </is>
      </c>
      <c r="C10" s="49">
        <f>C8*(1+(1-C20)*C9)</f>
        <v/>
      </c>
      <c r="D10" s="11" t="inlineStr">
        <is>
          <t>Hamada: Bu x (1 + (1 - t) x D/E)</t>
        </is>
      </c>
    </row>
    <row r="11">
      <c r="B11" s="10" t="inlineStr">
        <is>
          <t>Weight on regression beta</t>
        </is>
      </c>
      <c r="C11" s="42">
        <f>Assumptions!$C$26</f>
        <v/>
      </c>
      <c r="D11" s="11" t="inlineStr"/>
    </row>
    <row r="12">
      <c r="B12" s="3" t="inlineStr">
        <is>
          <t>Selected beta</t>
        </is>
      </c>
      <c r="C12" s="50">
        <f>C11*C7+(1-C11)*C10</f>
        <v/>
      </c>
      <c r="D12" s="11" t="inlineStr">
        <is>
          <t>Blend of regression and bottom-up beta</t>
        </is>
      </c>
    </row>
    <row r="13">
      <c r="B13" s="10" t="inlineStr">
        <is>
          <t>Equity risk premium</t>
        </is>
      </c>
      <c r="C13" s="46">
        <f>Assumptions!$C$23</f>
        <v/>
      </c>
      <c r="D13" s="11" t="inlineStr">
        <is>
          <t>Implied mature-market ERP; Netherlands has no country premium</t>
        </is>
      </c>
    </row>
    <row r="14">
      <c r="B14" s="3" t="inlineStr">
        <is>
          <t>Cost of equity (CAPM)</t>
        </is>
      </c>
      <c r="C14" s="51">
        <f>C6+C12*C13</f>
        <v/>
      </c>
      <c r="D14" s="11" t="inlineStr">
        <is>
          <t>Rf + beta x ERP</t>
        </is>
      </c>
    </row>
    <row r="16">
      <c r="B16" s="14" t="inlineStr">
        <is>
          <t>Cost of debt</t>
        </is>
      </c>
      <c r="C16" s="15" t="n"/>
      <c r="D16" s="15" t="n"/>
    </row>
    <row r="17">
      <c r="B17" s="10" t="inlineStr">
        <is>
          <t>Risk-free rate</t>
        </is>
      </c>
      <c r="C17" s="48">
        <f>C6</f>
        <v/>
      </c>
      <c r="D17" s="11" t="inlineStr"/>
    </row>
    <row r="18">
      <c r="B18" s="10" t="inlineStr">
        <is>
          <t>Credit spread (A1 / A+)</t>
        </is>
      </c>
      <c r="C18" s="46">
        <f>Assumptions!$C$27</f>
        <v/>
      </c>
      <c r="D18" s="11" t="inlineStr">
        <is>
          <t>Spread for single-A EUR corporate bonds</t>
        </is>
      </c>
    </row>
    <row r="19">
      <c r="B19" s="10" t="inlineStr">
        <is>
          <t>Pre-tax cost of debt</t>
        </is>
      </c>
      <c r="C19" s="48">
        <f>C17+C18</f>
        <v/>
      </c>
      <c r="D19" s="11" t="inlineStr">
        <is>
          <t>Rf + spread</t>
        </is>
      </c>
    </row>
    <row r="20">
      <c r="B20" s="10" t="inlineStr">
        <is>
          <t>Tax rate (statutory)</t>
        </is>
      </c>
      <c r="C20" s="42">
        <f>Assumptions!$C$28</f>
        <v/>
      </c>
      <c r="D20" s="11" t="inlineStr">
        <is>
          <t>Interest is deductible at the Dutch statutory rate</t>
        </is>
      </c>
    </row>
    <row r="21">
      <c r="B21" s="3" t="inlineStr">
        <is>
          <t>After-tax cost of debt</t>
        </is>
      </c>
      <c r="C21" s="51">
        <f>C19*(1-C20)</f>
        <v/>
      </c>
      <c r="D21" s="11" t="inlineStr">
        <is>
          <t>Kd x (1 - t)</t>
        </is>
      </c>
    </row>
    <row r="23">
      <c r="B23" s="14" t="inlineStr">
        <is>
          <t>Capital structure (market values)</t>
        </is>
      </c>
      <c r="C23" s="15" t="n"/>
      <c r="D23" s="15" t="n"/>
    </row>
    <row r="24">
      <c r="B24" s="10" t="inlineStr">
        <is>
          <t>Share price (EUR)</t>
        </is>
      </c>
      <c r="C24" s="52">
        <f>Assumptions!$C$14</f>
        <v/>
      </c>
      <c r="D24" s="11" t="inlineStr"/>
    </row>
    <row r="25">
      <c r="B25" s="10" t="inlineStr">
        <is>
          <t>Diluted shares (m)</t>
        </is>
      </c>
      <c r="C25" s="53">
        <f>Assumptions!$C$15</f>
        <v/>
      </c>
      <c r="D25" s="11" t="inlineStr"/>
    </row>
    <row r="26">
      <c r="B26" s="10" t="inlineStr">
        <is>
          <t>Market value of equity (E)</t>
        </is>
      </c>
      <c r="C26" s="36">
        <f>C24*C25</f>
        <v/>
      </c>
      <c r="D26" s="11" t="inlineStr">
        <is>
          <t>Price x diluted shares</t>
        </is>
      </c>
    </row>
    <row r="27">
      <c r="B27" s="10" t="inlineStr">
        <is>
          <t>Debt (D)</t>
        </is>
      </c>
      <c r="C27" s="41">
        <f>Assumptions!$C$17</f>
        <v/>
      </c>
      <c r="D27" s="11" t="inlineStr">
        <is>
          <t>Book value used as proxy for market value (fair value ~ book for A1 issuer)</t>
        </is>
      </c>
    </row>
    <row r="28">
      <c r="B28" s="10" t="inlineStr">
        <is>
          <t>Total capital (D + E)</t>
        </is>
      </c>
      <c r="C28" s="36">
        <f>C26+C27</f>
        <v/>
      </c>
      <c r="D28" s="11" t="inlineStr"/>
    </row>
    <row r="29">
      <c r="B29" s="10" t="inlineStr">
        <is>
          <t>Equity weight E / (D + E)</t>
        </is>
      </c>
      <c r="C29" s="48">
        <f>C26/C28</f>
        <v/>
      </c>
      <c r="D29" s="11" t="inlineStr"/>
    </row>
    <row r="30">
      <c r="B30" s="10" t="inlineStr">
        <is>
          <t>Debt weight D / (D + E)</t>
        </is>
      </c>
      <c r="C30" s="48">
        <f>C27/C28</f>
        <v/>
      </c>
      <c r="D30" s="11" t="inlineStr"/>
    </row>
    <row r="32">
      <c r="B32" s="14" t="inlineStr">
        <is>
          <t>WACC</t>
        </is>
      </c>
      <c r="C32" s="15" t="n"/>
      <c r="D32" s="15" t="n"/>
    </row>
    <row r="33">
      <c r="B33" s="3" t="inlineStr">
        <is>
          <t>WACC (CAPM)</t>
        </is>
      </c>
      <c r="C33" s="51">
        <f>C29*C14+C30*C21</f>
        <v/>
      </c>
      <c r="D33" s="11" t="inlineStr">
        <is>
          <t>E/(D+E) x Ke + D/(D+E) x Kd x (1 - t)</t>
        </is>
      </c>
    </row>
    <row r="34">
      <c r="B34" s="10" t="inlineStr">
        <is>
          <t>Scenario adjustment</t>
        </is>
      </c>
      <c r="C34" s="46">
        <f>Assumptions!$E$80</f>
        <v/>
      </c>
      <c r="D34" s="11" t="inlineStr">
        <is>
          <t>0 in Base; +/-0.5% in Bear/Bull</t>
        </is>
      </c>
    </row>
    <row r="35">
      <c r="B35" s="3" t="inlineStr">
        <is>
          <t>WACC applied in DCF</t>
        </is>
      </c>
      <c r="C35" s="54">
        <f>C33+C34</f>
        <v/>
      </c>
      <c r="D35" s="11" t="inlineStr"/>
    </row>
  </sheetData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tabColor rgb="002B4BFF"/>
    <outlinePr summaryBelow="1" summaryRight="1"/>
    <pageSetUpPr fitToPage="1"/>
  </sheetPr>
  <dimension ref="B1:J3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4" customWidth="1" min="2" max="2"/>
    <col width="15" customWidth="1" min="3" max="3"/>
    <col width="15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60" customWidth="1" min="10" max="10"/>
  </cols>
  <sheetData>
    <row r="1">
      <c r="B1" s="12" t="inlineStr">
        <is>
          <t>Discounted Cash Flow</t>
        </is>
      </c>
    </row>
    <row r="2">
      <c r="B2" s="13" t="inlineStr">
        <is>
          <t>Valuation at the valuation date using the 28-Jun-26 balance sheet; FY26 counts only H2 cash flows (stub). EUR millions.</t>
        </is>
      </c>
    </row>
    <row r="4">
      <c r="B4" s="24" t="inlineStr">
        <is>
          <t>EUR m</t>
        </is>
      </c>
      <c r="C4" s="25" t="n"/>
      <c r="D4" s="25" t="n"/>
      <c r="E4" s="40" t="inlineStr">
        <is>
          <t>FY26E</t>
        </is>
      </c>
      <c r="F4" s="40" t="inlineStr">
        <is>
          <t>FY27E</t>
        </is>
      </c>
      <c r="G4" s="40" t="inlineStr">
        <is>
          <t>FY28E</t>
        </is>
      </c>
      <c r="H4" s="40" t="inlineStr">
        <is>
          <t>FY29E</t>
        </is>
      </c>
      <c r="I4" s="40" t="inlineStr">
        <is>
          <t>FY30E</t>
        </is>
      </c>
    </row>
    <row r="5">
      <c r="B5" s="10" t="inlineStr">
        <is>
          <t>Period end</t>
        </is>
      </c>
      <c r="E5" s="55">
        <f>Assumptions!$C$7</f>
        <v/>
      </c>
      <c r="F5" s="55">
        <f>DATE(YEAR(E5)+1,12,31)</f>
        <v/>
      </c>
      <c r="G5" s="55">
        <f>DATE(YEAR(F5)+1,12,31)</f>
        <v/>
      </c>
      <c r="H5" s="55">
        <f>DATE(YEAR(G5)+1,12,31)</f>
        <v/>
      </c>
      <c r="I5" s="55">
        <f>DATE(YEAR(H5)+1,12,31)</f>
        <v/>
      </c>
    </row>
    <row r="6">
      <c r="B6" s="10" t="inlineStr">
        <is>
          <t>Years from valuation date to period end</t>
        </is>
      </c>
      <c r="E6" s="56">
        <f>(E5-Assumptions!$C$5)/365</f>
        <v/>
      </c>
      <c r="F6" s="56">
        <f>E6+1</f>
        <v/>
      </c>
      <c r="G6" s="56">
        <f>F6+1</f>
        <v/>
      </c>
      <c r="H6" s="56">
        <f>G6+1</f>
        <v/>
      </c>
      <c r="I6" s="56">
        <f>H6+1</f>
        <v/>
      </c>
    </row>
    <row r="7">
      <c r="B7" s="10" t="inlineStr">
        <is>
          <t>Discount period (mid-year if switched on)</t>
        </is>
      </c>
      <c r="E7" s="56">
        <f>IF(Assumptions!$C$10=1,E6/2,E6)</f>
        <v/>
      </c>
      <c r="F7" s="56">
        <f>IF(Assumptions!$C$10=1,F6-0.5,F6)</f>
        <v/>
      </c>
      <c r="G7" s="56">
        <f>IF(Assumptions!$C$10=1,G6-0.5,G6)</f>
        <v/>
      </c>
      <c r="H7" s="56">
        <f>IF(Assumptions!$C$10=1,H6-0.5,H6)</f>
        <v/>
      </c>
      <c r="I7" s="56">
        <f>IF(Assumptions!$C$10=1,I6-0.5,I6)</f>
        <v/>
      </c>
      <c r="J7" s="11" t="inlineStr">
        <is>
          <t>FY26 stub: mid-point of remaining period; later years: mid-year</t>
        </is>
      </c>
    </row>
    <row r="9">
      <c r="B9" s="3" t="inlineStr">
        <is>
          <t>Unlevered free cash flow</t>
        </is>
      </c>
      <c r="E9" s="41">
        <f>Forecast!H33</f>
        <v/>
      </c>
      <c r="F9" s="41">
        <f>Forecast!I33</f>
        <v/>
      </c>
      <c r="G9" s="41">
        <f>Forecast!J33</f>
        <v/>
      </c>
      <c r="H9" s="41">
        <f>Forecast!K33</f>
        <v/>
      </c>
      <c r="I9" s="41">
        <f>Forecast!L33</f>
        <v/>
      </c>
    </row>
    <row r="10">
      <c r="B10" s="10" t="inlineStr">
        <is>
          <t>Less: H1-26 actual UFCF (already in 28-Jun cash)</t>
        </is>
      </c>
      <c r="E10" s="41">
        <f>-Assumptions!$C$19</f>
        <v/>
      </c>
      <c r="F10" s="36" t="n">
        <v>0</v>
      </c>
      <c r="G10" s="36" t="n">
        <v>0</v>
      </c>
      <c r="H10" s="36" t="n">
        <v>0</v>
      </c>
      <c r="I10" s="36" t="n">
        <v>0</v>
      </c>
      <c r="J10" s="11" t="inlineStr">
        <is>
          <t>Avoids double counting: H1 cash flows are in the balance sheet already</t>
        </is>
      </c>
    </row>
    <row r="11">
      <c r="B11" s="3" t="inlineStr">
        <is>
          <t>Cash flow to discount</t>
        </is>
      </c>
      <c r="E11" s="35">
        <f>E9+E10</f>
        <v/>
      </c>
      <c r="F11" s="35">
        <f>F9+F10</f>
        <v/>
      </c>
      <c r="G11" s="35">
        <f>G9+G10</f>
        <v/>
      </c>
      <c r="H11" s="35">
        <f>H9+H10</f>
        <v/>
      </c>
      <c r="I11" s="35">
        <f>I9+I10</f>
        <v/>
      </c>
    </row>
    <row r="12">
      <c r="B12" s="10" t="inlineStr">
        <is>
          <t>WACC</t>
        </is>
      </c>
      <c r="E12" s="46">
        <f>WACC!$C$35</f>
        <v/>
      </c>
      <c r="F12" s="46">
        <f>WACC!$C$35</f>
        <v/>
      </c>
      <c r="G12" s="46">
        <f>WACC!$C$35</f>
        <v/>
      </c>
      <c r="H12" s="46">
        <f>WACC!$C$35</f>
        <v/>
      </c>
      <c r="I12" s="46">
        <f>WACC!$C$35</f>
        <v/>
      </c>
    </row>
    <row r="13">
      <c r="B13" s="10" t="inlineStr">
        <is>
          <t>Discount factor</t>
        </is>
      </c>
      <c r="E13" s="57">
        <f>1/(1+E12)^E7</f>
        <v/>
      </c>
      <c r="F13" s="57">
        <f>1/(1+F12)^F7</f>
        <v/>
      </c>
      <c r="G13" s="57">
        <f>1/(1+G12)^G7</f>
        <v/>
      </c>
      <c r="H13" s="57">
        <f>1/(1+H12)^H7</f>
        <v/>
      </c>
      <c r="I13" s="57">
        <f>1/(1+I12)^I7</f>
        <v/>
      </c>
    </row>
    <row r="14">
      <c r="B14" s="3" t="inlineStr">
        <is>
          <t>PV of cash flow</t>
        </is>
      </c>
      <c r="E14" s="39">
        <f>E11*E13</f>
        <v/>
      </c>
      <c r="F14" s="39">
        <f>F11*F13</f>
        <v/>
      </c>
      <c r="G14" s="39">
        <f>G11*G13</f>
        <v/>
      </c>
      <c r="H14" s="39">
        <f>H11*H13</f>
        <v/>
      </c>
      <c r="I14" s="39">
        <f>I11*I13</f>
        <v/>
      </c>
    </row>
    <row r="15">
      <c r="B15" s="3" t="inlineStr">
        <is>
          <t>Sum of PV of forecast cash flows</t>
        </is>
      </c>
      <c r="C15" s="45">
        <f>SUM(E14:I14)</f>
        <v/>
      </c>
    </row>
    <row r="17">
      <c r="B17" s="24" t="inlineStr">
        <is>
          <t>Valuation</t>
        </is>
      </c>
      <c r="C17" s="25" t="inlineStr">
        <is>
          <t>Gordon Growth</t>
        </is>
      </c>
      <c r="D17" s="25" t="inlineStr">
        <is>
          <t>Exit Multiple</t>
        </is>
      </c>
      <c r="E17" s="25" t="inlineStr">
        <is>
          <t>Blended</t>
        </is>
      </c>
    </row>
    <row r="18">
      <c r="B18" s="10" t="inlineStr">
        <is>
          <t>Terminal-year UFCF (FY30E)</t>
        </is>
      </c>
      <c r="C18" s="36">
        <f>I9</f>
        <v/>
      </c>
    </row>
    <row r="19">
      <c r="B19" s="10" t="inlineStr">
        <is>
          <t>Terminal growth rate</t>
        </is>
      </c>
      <c r="C19" s="46">
        <f>Assumptions!$E$70</f>
        <v/>
      </c>
    </row>
    <row r="20">
      <c r="B20" s="10" t="inlineStr">
        <is>
          <t>Terminal-year EBITDA (FY30E)</t>
        </is>
      </c>
      <c r="D20" s="36">
        <f>Forecast!L13</f>
        <v/>
      </c>
    </row>
    <row r="21">
      <c r="B21" s="10" t="inlineStr">
        <is>
          <t>Exit EV/EBITDA multiple</t>
        </is>
      </c>
      <c r="D21" s="58">
        <f>Assumptions!$E$75</f>
        <v/>
      </c>
    </row>
    <row r="22">
      <c r="B22" s="3" t="inlineStr">
        <is>
          <t>Terminal value at end FY30</t>
        </is>
      </c>
      <c r="C22" s="39">
        <f>C18*(1+C19)/(WACC!$C$35-C19)</f>
        <v/>
      </c>
      <c r="D22" s="39">
        <f>D20*D21</f>
        <v/>
      </c>
      <c r="F22" s="11" t="inlineStr">
        <is>
          <t>Gordon: FCF30 x (1 + g) / (WACC - g).  Exit: EBITDA30 x multiple</t>
        </is>
      </c>
    </row>
    <row r="23">
      <c r="B23" s="10" t="inlineStr">
        <is>
          <t>Discount period for terminal value</t>
        </is>
      </c>
      <c r="C23" s="56">
        <f>$I$6</f>
        <v/>
      </c>
      <c r="D23" s="56">
        <f>$I$6</f>
        <v/>
      </c>
      <c r="F23" s="11" t="inlineStr">
        <is>
          <t>Both terminal values discounted from end of FY30 (conservative)</t>
        </is>
      </c>
    </row>
    <row r="24">
      <c r="B24" s="10" t="inlineStr">
        <is>
          <t>PV of terminal value</t>
        </is>
      </c>
      <c r="C24" s="36">
        <f>C22/(1+WACC!$C$35)^C23</f>
        <v/>
      </c>
      <c r="D24" s="36">
        <f>D22/(1+WACC!$C$35)^D23</f>
        <v/>
      </c>
    </row>
    <row r="25">
      <c r="B25" s="10" t="inlineStr">
        <is>
          <t>PV of forecast cash flows</t>
        </is>
      </c>
      <c r="C25" s="36">
        <f>$C$15</f>
        <v/>
      </c>
      <c r="D25" s="36">
        <f>$C$15</f>
        <v/>
      </c>
    </row>
    <row r="26">
      <c r="B26" s="3" t="inlineStr">
        <is>
          <t>Enterprise value</t>
        </is>
      </c>
      <c r="C26" s="35">
        <f>C25+C24</f>
        <v/>
      </c>
      <c r="D26" s="35">
        <f>D25+D24</f>
        <v/>
      </c>
      <c r="E26" s="35">
        <f>Assumptions!$C$11*C26+(1-Assumptions!$C$11)*D26</f>
        <v/>
      </c>
    </row>
    <row r="27">
      <c r="B27" s="10" t="inlineStr">
        <is>
          <t>Terminal value % of EV</t>
        </is>
      </c>
      <c r="C27" s="26">
        <f>C24/C26</f>
        <v/>
      </c>
      <c r="D27" s="26">
        <f>D24/D26</f>
        <v/>
      </c>
    </row>
    <row r="28">
      <c r="B28" s="10" t="inlineStr">
        <is>
          <t>Plus: cash &amp; short-term investments</t>
        </is>
      </c>
      <c r="C28" s="41">
        <f>Assumptions!$C$16</f>
        <v/>
      </c>
      <c r="D28" s="41">
        <f>Assumptions!$C$16</f>
        <v/>
      </c>
    </row>
    <row r="29">
      <c r="B29" s="10" t="inlineStr">
        <is>
          <t>Less: total debt</t>
        </is>
      </c>
      <c r="C29" s="41">
        <f>Assumptions!$C$17</f>
        <v/>
      </c>
      <c r="D29" s="41">
        <f>Assumptions!$C$17</f>
        <v/>
      </c>
      <c r="F29" s="11" t="inlineStr">
        <is>
          <t>Bonds + commercial paper; US GAAP operating leases excluded (lease cost already in EBITDA)</t>
        </is>
      </c>
    </row>
    <row r="30">
      <c r="B30" s="10" t="inlineStr">
        <is>
          <t>Plus: non-operating investments</t>
        </is>
      </c>
      <c r="C30" s="41">
        <f>Assumptions!$C$18</f>
        <v/>
      </c>
      <c r="D30" s="41">
        <f>Assumptions!$C$18</f>
        <v/>
      </c>
      <c r="F30" s="11" t="inlineStr">
        <is>
          <t>Equity stakes (e.g. Mistral AI) and equity-method investments; their income is not in EBIT</t>
        </is>
      </c>
    </row>
    <row r="31">
      <c r="B31" s="3" t="inlineStr">
        <is>
          <t>Equity value</t>
        </is>
      </c>
      <c r="C31" s="35">
        <f>C26+C28-C29+C30</f>
        <v/>
      </c>
      <c r="D31" s="35">
        <f>D26+D28-D29+D30</f>
        <v/>
      </c>
      <c r="E31" s="35">
        <f>Assumptions!$C$11*C31+(1-Assumptions!$C$11)*D31</f>
        <v/>
      </c>
    </row>
    <row r="32">
      <c r="B32" s="10" t="inlineStr">
        <is>
          <t>Diluted shares (m)</t>
        </is>
      </c>
      <c r="C32" s="53">
        <f>Assumptions!$C$15</f>
        <v/>
      </c>
      <c r="D32" s="53">
        <f>Assumptions!$C$15</f>
        <v/>
      </c>
    </row>
    <row r="33">
      <c r="B33" s="3" t="inlineStr">
        <is>
          <t>Implied share price (EUR)</t>
        </is>
      </c>
      <c r="C33" s="59">
        <f>C31/C32</f>
        <v/>
      </c>
      <c r="D33" s="59">
        <f>D31/D32</f>
        <v/>
      </c>
      <c r="E33" s="59">
        <f>Assumptions!$C$11*C33+(1-Assumptions!$C$11)*D33</f>
        <v/>
      </c>
    </row>
    <row r="34">
      <c r="B34" s="10" t="inlineStr">
        <is>
          <t>Current share price (EUR)</t>
        </is>
      </c>
      <c r="C34" s="52">
        <f>Assumptions!$C$14</f>
        <v/>
      </c>
      <c r="D34" s="52">
        <f>Assumptions!$C$14</f>
        <v/>
      </c>
      <c r="E34" s="52">
        <f>Assumptions!$C$14</f>
        <v/>
      </c>
    </row>
    <row r="35">
      <c r="B35" s="3" t="inlineStr">
        <is>
          <t>Upside / (downside)</t>
        </is>
      </c>
      <c r="C35" s="38">
        <f>C33/C34-1</f>
        <v/>
      </c>
      <c r="D35" s="38">
        <f>D33/D34-1</f>
        <v/>
      </c>
      <c r="E35" s="38">
        <f>E33/E34-1</f>
        <v/>
      </c>
    </row>
    <row r="36">
      <c r="B36" s="10" t="inlineStr">
        <is>
          <t>Cross-check: implied exit multiple / implied g</t>
        </is>
      </c>
      <c r="C36" s="60">
        <f>C22/D20</f>
        <v/>
      </c>
      <c r="D36" s="48">
        <f>(D22*WACC!$C$35-C18)/(D22+C18)</f>
        <v/>
      </c>
      <c r="F36" s="11" t="inlineStr">
        <is>
          <t>Gordon TV / EBITDA (x)  |  g implied by exit TV</t>
        </is>
      </c>
    </row>
    <row r="37">
      <c r="B37" s="10" t="inlineStr">
        <is>
          <t>Reverse DCF: exit multiple implied by market price</t>
        </is>
      </c>
      <c r="D37" s="60">
        <f>((C34*C32-C28+C29-C30-C25)*(1+WACC!$C$35)^D23)/D20</f>
        <v/>
      </c>
      <c r="F37" s="11" t="inlineStr">
        <is>
          <t>Multiple needed in the Exit method to justify today's price</t>
        </is>
      </c>
    </row>
    <row r="38">
      <c r="B38" s="10" t="inlineStr">
        <is>
          <t>Reverse DCF: perpetual growth implied by market price</t>
        </is>
      </c>
      <c r="C38" s="48">
        <f>(((C34*C32-C28+C29-C30-C25)*(1+WACC!$C$35)^C23)*WACC!$C$35-C18)/(((C34*C32-C28+C29-C30-C25)*(1+WACC!$C$35)^C23)+C18)</f>
        <v/>
      </c>
      <c r="F38" s="11" t="inlineStr">
        <is>
          <t>Perpetual growth needed in the Gordon method to justify today's price</t>
        </is>
      </c>
    </row>
  </sheetData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tabColor rgb="002B4BFF"/>
    <outlinePr summaryBelow="1" summaryRight="1"/>
    <pageSetUpPr fitToPage="1"/>
  </sheetPr>
  <dimension ref="B1:N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4" customWidth="1" min="12" max="12"/>
    <col width="22" customWidth="1" min="13" max="13"/>
    <col width="10" customWidth="1" min="14" max="14"/>
  </cols>
  <sheetData>
    <row r="1">
      <c r="B1" s="12" t="inlineStr">
        <is>
          <t>Sensitivity Analysis</t>
        </is>
      </c>
    </row>
    <row r="2">
      <c r="B2" s="13" t="inlineStr">
        <is>
          <t>Implied share price (EUR). Every cell is a live closed-form DCF; the grid re-centres on the live WACC, g and multiple. Base case boxed and shaded.</t>
        </is>
      </c>
    </row>
    <row r="4">
      <c r="B4" s="8" t="inlineStr">
        <is>
          <t>Table 1: WACC vs terminal growth (Gordon Growth method)</t>
        </is>
      </c>
      <c r="M4" s="8" t="inlineStr">
        <is>
          <t>Grid steps</t>
        </is>
      </c>
    </row>
    <row r="5">
      <c r="C5" s="3" t="inlineStr">
        <is>
          <t>WACC →</t>
        </is>
      </c>
      <c r="M5" s="10" t="inlineStr">
        <is>
          <t>WACC step</t>
        </is>
      </c>
      <c r="N5" s="22" t="n">
        <v>0.005</v>
      </c>
    </row>
    <row r="6">
      <c r="B6" s="61" t="inlineStr">
        <is>
          <t>g ↓  /  WACC →</t>
        </is>
      </c>
      <c r="C6" s="62">
        <f>$G$6+(-4)*$N$5</f>
        <v/>
      </c>
      <c r="D6" s="62">
        <f>$G$6+(-3)*$N$5</f>
        <v/>
      </c>
      <c r="E6" s="62">
        <f>$G$6+(-2)*$N$5</f>
        <v/>
      </c>
      <c r="F6" s="62">
        <f>$G$6+(-1)*$N$5</f>
        <v/>
      </c>
      <c r="G6" s="62">
        <f>WACC!$C$35</f>
        <v/>
      </c>
      <c r="H6" s="62">
        <f>$G$6+(1)*$N$5</f>
        <v/>
      </c>
      <c r="I6" s="62">
        <f>$G$6+(2)*$N$5</f>
        <v/>
      </c>
      <c r="J6" s="62">
        <f>$G$6+(3)*$N$5</f>
        <v/>
      </c>
      <c r="K6" s="62">
        <f>$G$6+(4)*$N$5</f>
        <v/>
      </c>
      <c r="M6" s="10" t="inlineStr">
        <is>
          <t>Terminal growth step</t>
        </is>
      </c>
      <c r="N6" s="22" t="n">
        <v>0.0025</v>
      </c>
    </row>
    <row r="7">
      <c r="B7" s="63">
        <f>$B$11+(-4)*$N$6</f>
        <v/>
      </c>
      <c r="C7" s="64">
        <f>(SUMPRODUCT(DCF!$E$11:$I$11,1/(1+C$6)^DCF!$E$7:$I$7)+DCF!$I$9*(1+$B7)/(C$6-$B7)/(1+C$6)^DCF!$I$6+(DCF!$C$28-DCF!$C$29+DCF!$C$30))/DCF!$C$32</f>
        <v/>
      </c>
      <c r="D7" s="64">
        <f>(SUMPRODUCT(DCF!$E$11:$I$11,1/(1+D$6)^DCF!$E$7:$I$7)+DCF!$I$9*(1+$B7)/(D$6-$B7)/(1+D$6)^DCF!$I$6+(DCF!$C$28-DCF!$C$29+DCF!$C$30))/DCF!$C$32</f>
        <v/>
      </c>
      <c r="E7" s="64">
        <f>(SUMPRODUCT(DCF!$E$11:$I$11,1/(1+E$6)^DCF!$E$7:$I$7)+DCF!$I$9*(1+$B7)/(E$6-$B7)/(1+E$6)^DCF!$I$6+(DCF!$C$28-DCF!$C$29+DCF!$C$30))/DCF!$C$32</f>
        <v/>
      </c>
      <c r="F7" s="64">
        <f>(SUMPRODUCT(DCF!$E$11:$I$11,1/(1+F$6)^DCF!$E$7:$I$7)+DCF!$I$9*(1+$B7)/(F$6-$B7)/(1+F$6)^DCF!$I$6+(DCF!$C$28-DCF!$C$29+DCF!$C$30))/DCF!$C$32</f>
        <v/>
      </c>
      <c r="G7" s="64">
        <f>(SUMPRODUCT(DCF!$E$11:$I$11,1/(1+G$6)^DCF!$E$7:$I$7)+DCF!$I$9*(1+$B7)/(G$6-$B7)/(1+G$6)^DCF!$I$6+(DCF!$C$28-DCF!$C$29+DCF!$C$30))/DCF!$C$32</f>
        <v/>
      </c>
      <c r="H7" s="64">
        <f>(SUMPRODUCT(DCF!$E$11:$I$11,1/(1+H$6)^DCF!$E$7:$I$7)+DCF!$I$9*(1+$B7)/(H$6-$B7)/(1+H$6)^DCF!$I$6+(DCF!$C$28-DCF!$C$29+DCF!$C$30))/DCF!$C$32</f>
        <v/>
      </c>
      <c r="I7" s="64">
        <f>(SUMPRODUCT(DCF!$E$11:$I$11,1/(1+I$6)^DCF!$E$7:$I$7)+DCF!$I$9*(1+$B7)/(I$6-$B7)/(1+I$6)^DCF!$I$6+(DCF!$C$28-DCF!$C$29+DCF!$C$30))/DCF!$C$32</f>
        <v/>
      </c>
      <c r="J7" s="64">
        <f>(SUMPRODUCT(DCF!$E$11:$I$11,1/(1+J$6)^DCF!$E$7:$I$7)+DCF!$I$9*(1+$B7)/(J$6-$B7)/(1+J$6)^DCF!$I$6+(DCF!$C$28-DCF!$C$29+DCF!$C$30))/DCF!$C$32</f>
        <v/>
      </c>
      <c r="K7" s="64">
        <f>(SUMPRODUCT(DCF!$E$11:$I$11,1/(1+K$6)^DCF!$E$7:$I$7)+DCF!$I$9*(1+$B7)/(K$6-$B7)/(1+K$6)^DCF!$I$6+(DCF!$C$28-DCF!$C$29+DCF!$C$30))/DCF!$C$32</f>
        <v/>
      </c>
      <c r="M7" s="10" t="inlineStr">
        <is>
          <t>Exit multiple step</t>
        </is>
      </c>
      <c r="N7" s="30" t="n">
        <v>2</v>
      </c>
    </row>
    <row r="8">
      <c r="B8" s="63">
        <f>$B$11+(-3)*$N$6</f>
        <v/>
      </c>
      <c r="C8" s="64">
        <f>(SUMPRODUCT(DCF!$E$11:$I$11,1/(1+C$6)^DCF!$E$7:$I$7)+DCF!$I$9*(1+$B8)/(C$6-$B8)/(1+C$6)^DCF!$I$6+(DCF!$C$28-DCF!$C$29+DCF!$C$30))/DCF!$C$32</f>
        <v/>
      </c>
      <c r="D8" s="64">
        <f>(SUMPRODUCT(DCF!$E$11:$I$11,1/(1+D$6)^DCF!$E$7:$I$7)+DCF!$I$9*(1+$B8)/(D$6-$B8)/(1+D$6)^DCF!$I$6+(DCF!$C$28-DCF!$C$29+DCF!$C$30))/DCF!$C$32</f>
        <v/>
      </c>
      <c r="E8" s="64">
        <f>(SUMPRODUCT(DCF!$E$11:$I$11,1/(1+E$6)^DCF!$E$7:$I$7)+DCF!$I$9*(1+$B8)/(E$6-$B8)/(1+E$6)^DCF!$I$6+(DCF!$C$28-DCF!$C$29+DCF!$C$30))/DCF!$C$32</f>
        <v/>
      </c>
      <c r="F8" s="64">
        <f>(SUMPRODUCT(DCF!$E$11:$I$11,1/(1+F$6)^DCF!$E$7:$I$7)+DCF!$I$9*(1+$B8)/(F$6-$B8)/(1+F$6)^DCF!$I$6+(DCF!$C$28-DCF!$C$29+DCF!$C$30))/DCF!$C$32</f>
        <v/>
      </c>
      <c r="G8" s="64">
        <f>(SUMPRODUCT(DCF!$E$11:$I$11,1/(1+G$6)^DCF!$E$7:$I$7)+DCF!$I$9*(1+$B8)/(G$6-$B8)/(1+G$6)^DCF!$I$6+(DCF!$C$28-DCF!$C$29+DCF!$C$30))/DCF!$C$32</f>
        <v/>
      </c>
      <c r="H8" s="64">
        <f>(SUMPRODUCT(DCF!$E$11:$I$11,1/(1+H$6)^DCF!$E$7:$I$7)+DCF!$I$9*(1+$B8)/(H$6-$B8)/(1+H$6)^DCF!$I$6+(DCF!$C$28-DCF!$C$29+DCF!$C$30))/DCF!$C$32</f>
        <v/>
      </c>
      <c r="I8" s="64">
        <f>(SUMPRODUCT(DCF!$E$11:$I$11,1/(1+I$6)^DCF!$E$7:$I$7)+DCF!$I$9*(1+$B8)/(I$6-$B8)/(1+I$6)^DCF!$I$6+(DCF!$C$28-DCF!$C$29+DCF!$C$30))/DCF!$C$32</f>
        <v/>
      </c>
      <c r="J8" s="64">
        <f>(SUMPRODUCT(DCF!$E$11:$I$11,1/(1+J$6)^DCF!$E$7:$I$7)+DCF!$I$9*(1+$B8)/(J$6-$B8)/(1+J$6)^DCF!$I$6+(DCF!$C$28-DCF!$C$29+DCF!$C$30))/DCF!$C$32</f>
        <v/>
      </c>
      <c r="K8" s="64">
        <f>(SUMPRODUCT(DCF!$E$11:$I$11,1/(1+K$6)^DCF!$E$7:$I$7)+DCF!$I$9*(1+$B8)/(K$6-$B8)/(1+K$6)^DCF!$I$6+(DCF!$C$28-DCF!$C$29+DCF!$C$30))/DCF!$C$32</f>
        <v/>
      </c>
    </row>
    <row r="9">
      <c r="B9" s="63">
        <f>$B$11+(-2)*$N$6</f>
        <v/>
      </c>
      <c r="C9" s="64">
        <f>(SUMPRODUCT(DCF!$E$11:$I$11,1/(1+C$6)^DCF!$E$7:$I$7)+DCF!$I$9*(1+$B9)/(C$6-$B9)/(1+C$6)^DCF!$I$6+(DCF!$C$28-DCF!$C$29+DCF!$C$30))/DCF!$C$32</f>
        <v/>
      </c>
      <c r="D9" s="64">
        <f>(SUMPRODUCT(DCF!$E$11:$I$11,1/(1+D$6)^DCF!$E$7:$I$7)+DCF!$I$9*(1+$B9)/(D$6-$B9)/(1+D$6)^DCF!$I$6+(DCF!$C$28-DCF!$C$29+DCF!$C$30))/DCF!$C$32</f>
        <v/>
      </c>
      <c r="E9" s="64">
        <f>(SUMPRODUCT(DCF!$E$11:$I$11,1/(1+E$6)^DCF!$E$7:$I$7)+DCF!$I$9*(1+$B9)/(E$6-$B9)/(1+E$6)^DCF!$I$6+(DCF!$C$28-DCF!$C$29+DCF!$C$30))/DCF!$C$32</f>
        <v/>
      </c>
      <c r="F9" s="64">
        <f>(SUMPRODUCT(DCF!$E$11:$I$11,1/(1+F$6)^DCF!$E$7:$I$7)+DCF!$I$9*(1+$B9)/(F$6-$B9)/(1+F$6)^DCF!$I$6+(DCF!$C$28-DCF!$C$29+DCF!$C$30))/DCF!$C$32</f>
        <v/>
      </c>
      <c r="G9" s="64">
        <f>(SUMPRODUCT(DCF!$E$11:$I$11,1/(1+G$6)^DCF!$E$7:$I$7)+DCF!$I$9*(1+$B9)/(G$6-$B9)/(1+G$6)^DCF!$I$6+(DCF!$C$28-DCF!$C$29+DCF!$C$30))/DCF!$C$32</f>
        <v/>
      </c>
      <c r="H9" s="64">
        <f>(SUMPRODUCT(DCF!$E$11:$I$11,1/(1+H$6)^DCF!$E$7:$I$7)+DCF!$I$9*(1+$B9)/(H$6-$B9)/(1+H$6)^DCF!$I$6+(DCF!$C$28-DCF!$C$29+DCF!$C$30))/DCF!$C$32</f>
        <v/>
      </c>
      <c r="I9" s="64">
        <f>(SUMPRODUCT(DCF!$E$11:$I$11,1/(1+I$6)^DCF!$E$7:$I$7)+DCF!$I$9*(1+$B9)/(I$6-$B9)/(1+I$6)^DCF!$I$6+(DCF!$C$28-DCF!$C$29+DCF!$C$30))/DCF!$C$32</f>
        <v/>
      </c>
      <c r="J9" s="64">
        <f>(SUMPRODUCT(DCF!$E$11:$I$11,1/(1+J$6)^DCF!$E$7:$I$7)+DCF!$I$9*(1+$B9)/(J$6-$B9)/(1+J$6)^DCF!$I$6+(DCF!$C$28-DCF!$C$29+DCF!$C$30))/DCF!$C$32</f>
        <v/>
      </c>
      <c r="K9" s="64">
        <f>(SUMPRODUCT(DCF!$E$11:$I$11,1/(1+K$6)^DCF!$E$7:$I$7)+DCF!$I$9*(1+$B9)/(K$6-$B9)/(1+K$6)^DCF!$I$6+(DCF!$C$28-DCF!$C$29+DCF!$C$30))/DCF!$C$32</f>
        <v/>
      </c>
    </row>
    <row r="10">
      <c r="B10" s="63">
        <f>$B$11+(-1)*$N$6</f>
        <v/>
      </c>
      <c r="C10" s="64">
        <f>(SUMPRODUCT(DCF!$E$11:$I$11,1/(1+C$6)^DCF!$E$7:$I$7)+DCF!$I$9*(1+$B10)/(C$6-$B10)/(1+C$6)^DCF!$I$6+(DCF!$C$28-DCF!$C$29+DCF!$C$30))/DCF!$C$32</f>
        <v/>
      </c>
      <c r="D10" s="64">
        <f>(SUMPRODUCT(DCF!$E$11:$I$11,1/(1+D$6)^DCF!$E$7:$I$7)+DCF!$I$9*(1+$B10)/(D$6-$B10)/(1+D$6)^DCF!$I$6+(DCF!$C$28-DCF!$C$29+DCF!$C$30))/DCF!$C$32</f>
        <v/>
      </c>
      <c r="E10" s="64">
        <f>(SUMPRODUCT(DCF!$E$11:$I$11,1/(1+E$6)^DCF!$E$7:$I$7)+DCF!$I$9*(1+$B10)/(E$6-$B10)/(1+E$6)^DCF!$I$6+(DCF!$C$28-DCF!$C$29+DCF!$C$30))/DCF!$C$32</f>
        <v/>
      </c>
      <c r="F10" s="64">
        <f>(SUMPRODUCT(DCF!$E$11:$I$11,1/(1+F$6)^DCF!$E$7:$I$7)+DCF!$I$9*(1+$B10)/(F$6-$B10)/(1+F$6)^DCF!$I$6+(DCF!$C$28-DCF!$C$29+DCF!$C$30))/DCF!$C$32</f>
        <v/>
      </c>
      <c r="G10" s="64">
        <f>(SUMPRODUCT(DCF!$E$11:$I$11,1/(1+G$6)^DCF!$E$7:$I$7)+DCF!$I$9*(1+$B10)/(G$6-$B10)/(1+G$6)^DCF!$I$6+(DCF!$C$28-DCF!$C$29+DCF!$C$30))/DCF!$C$32</f>
        <v/>
      </c>
      <c r="H10" s="64">
        <f>(SUMPRODUCT(DCF!$E$11:$I$11,1/(1+H$6)^DCF!$E$7:$I$7)+DCF!$I$9*(1+$B10)/(H$6-$B10)/(1+H$6)^DCF!$I$6+(DCF!$C$28-DCF!$C$29+DCF!$C$30))/DCF!$C$32</f>
        <v/>
      </c>
      <c r="I10" s="64">
        <f>(SUMPRODUCT(DCF!$E$11:$I$11,1/(1+I$6)^DCF!$E$7:$I$7)+DCF!$I$9*(1+$B10)/(I$6-$B10)/(1+I$6)^DCF!$I$6+(DCF!$C$28-DCF!$C$29+DCF!$C$30))/DCF!$C$32</f>
        <v/>
      </c>
      <c r="J10" s="64">
        <f>(SUMPRODUCT(DCF!$E$11:$I$11,1/(1+J$6)^DCF!$E$7:$I$7)+DCF!$I$9*(1+$B10)/(J$6-$B10)/(1+J$6)^DCF!$I$6+(DCF!$C$28-DCF!$C$29+DCF!$C$30))/DCF!$C$32</f>
        <v/>
      </c>
      <c r="K10" s="64">
        <f>(SUMPRODUCT(DCF!$E$11:$I$11,1/(1+K$6)^DCF!$E$7:$I$7)+DCF!$I$9*(1+$B10)/(K$6-$B10)/(1+K$6)^DCF!$I$6+(DCF!$C$28-DCF!$C$29+DCF!$C$30))/DCF!$C$32</f>
        <v/>
      </c>
    </row>
    <row r="11">
      <c r="B11" s="63">
        <f>Assumptions!$E$70</f>
        <v/>
      </c>
      <c r="C11" s="64">
        <f>(SUMPRODUCT(DCF!$E$11:$I$11,1/(1+C$6)^DCF!$E$7:$I$7)+DCF!$I$9*(1+$B11)/(C$6-$B11)/(1+C$6)^DCF!$I$6+(DCF!$C$28-DCF!$C$29+DCF!$C$30))/DCF!$C$32</f>
        <v/>
      </c>
      <c r="D11" s="64">
        <f>(SUMPRODUCT(DCF!$E$11:$I$11,1/(1+D$6)^DCF!$E$7:$I$7)+DCF!$I$9*(1+$B11)/(D$6-$B11)/(1+D$6)^DCF!$I$6+(DCF!$C$28-DCF!$C$29+DCF!$C$30))/DCF!$C$32</f>
        <v/>
      </c>
      <c r="E11" s="64">
        <f>(SUMPRODUCT(DCF!$E$11:$I$11,1/(1+E$6)^DCF!$E$7:$I$7)+DCF!$I$9*(1+$B11)/(E$6-$B11)/(1+E$6)^DCF!$I$6+(DCF!$C$28-DCF!$C$29+DCF!$C$30))/DCF!$C$32</f>
        <v/>
      </c>
      <c r="F11" s="64">
        <f>(SUMPRODUCT(DCF!$E$11:$I$11,1/(1+F$6)^DCF!$E$7:$I$7)+DCF!$I$9*(1+$B11)/(F$6-$B11)/(1+F$6)^DCF!$I$6+(DCF!$C$28-DCF!$C$29+DCF!$C$30))/DCF!$C$32</f>
        <v/>
      </c>
      <c r="G11" s="65">
        <f>(SUMPRODUCT(DCF!$E$11:$I$11,1/(1+G$6)^DCF!$E$7:$I$7)+DCF!$I$9*(1+$B11)/(G$6-$B11)/(1+G$6)^DCF!$I$6+(DCF!$C$28-DCF!$C$29+DCF!$C$30))/DCF!$C$32</f>
        <v/>
      </c>
      <c r="H11" s="64">
        <f>(SUMPRODUCT(DCF!$E$11:$I$11,1/(1+H$6)^DCF!$E$7:$I$7)+DCF!$I$9*(1+$B11)/(H$6-$B11)/(1+H$6)^DCF!$I$6+(DCF!$C$28-DCF!$C$29+DCF!$C$30))/DCF!$C$32</f>
        <v/>
      </c>
      <c r="I11" s="64">
        <f>(SUMPRODUCT(DCF!$E$11:$I$11,1/(1+I$6)^DCF!$E$7:$I$7)+DCF!$I$9*(1+$B11)/(I$6-$B11)/(1+I$6)^DCF!$I$6+(DCF!$C$28-DCF!$C$29+DCF!$C$30))/DCF!$C$32</f>
        <v/>
      </c>
      <c r="J11" s="64">
        <f>(SUMPRODUCT(DCF!$E$11:$I$11,1/(1+J$6)^DCF!$E$7:$I$7)+DCF!$I$9*(1+$B11)/(J$6-$B11)/(1+J$6)^DCF!$I$6+(DCF!$C$28-DCF!$C$29+DCF!$C$30))/DCF!$C$32</f>
        <v/>
      </c>
      <c r="K11" s="64">
        <f>(SUMPRODUCT(DCF!$E$11:$I$11,1/(1+K$6)^DCF!$E$7:$I$7)+DCF!$I$9*(1+$B11)/(K$6-$B11)/(1+K$6)^DCF!$I$6+(DCF!$C$28-DCF!$C$29+DCF!$C$30))/DCF!$C$32</f>
        <v/>
      </c>
    </row>
    <row r="12">
      <c r="B12" s="63">
        <f>$B$11+(1)*$N$6</f>
        <v/>
      </c>
      <c r="C12" s="64">
        <f>(SUMPRODUCT(DCF!$E$11:$I$11,1/(1+C$6)^DCF!$E$7:$I$7)+DCF!$I$9*(1+$B12)/(C$6-$B12)/(1+C$6)^DCF!$I$6+(DCF!$C$28-DCF!$C$29+DCF!$C$30))/DCF!$C$32</f>
        <v/>
      </c>
      <c r="D12" s="64">
        <f>(SUMPRODUCT(DCF!$E$11:$I$11,1/(1+D$6)^DCF!$E$7:$I$7)+DCF!$I$9*(1+$B12)/(D$6-$B12)/(1+D$6)^DCF!$I$6+(DCF!$C$28-DCF!$C$29+DCF!$C$30))/DCF!$C$32</f>
        <v/>
      </c>
      <c r="E12" s="64">
        <f>(SUMPRODUCT(DCF!$E$11:$I$11,1/(1+E$6)^DCF!$E$7:$I$7)+DCF!$I$9*(1+$B12)/(E$6-$B12)/(1+E$6)^DCF!$I$6+(DCF!$C$28-DCF!$C$29+DCF!$C$30))/DCF!$C$32</f>
        <v/>
      </c>
      <c r="F12" s="64">
        <f>(SUMPRODUCT(DCF!$E$11:$I$11,1/(1+F$6)^DCF!$E$7:$I$7)+DCF!$I$9*(1+$B12)/(F$6-$B12)/(1+F$6)^DCF!$I$6+(DCF!$C$28-DCF!$C$29+DCF!$C$30))/DCF!$C$32</f>
        <v/>
      </c>
      <c r="G12" s="64">
        <f>(SUMPRODUCT(DCF!$E$11:$I$11,1/(1+G$6)^DCF!$E$7:$I$7)+DCF!$I$9*(1+$B12)/(G$6-$B12)/(1+G$6)^DCF!$I$6+(DCF!$C$28-DCF!$C$29+DCF!$C$30))/DCF!$C$32</f>
        <v/>
      </c>
      <c r="H12" s="64">
        <f>(SUMPRODUCT(DCF!$E$11:$I$11,1/(1+H$6)^DCF!$E$7:$I$7)+DCF!$I$9*(1+$B12)/(H$6-$B12)/(1+H$6)^DCF!$I$6+(DCF!$C$28-DCF!$C$29+DCF!$C$30))/DCF!$C$32</f>
        <v/>
      </c>
      <c r="I12" s="64">
        <f>(SUMPRODUCT(DCF!$E$11:$I$11,1/(1+I$6)^DCF!$E$7:$I$7)+DCF!$I$9*(1+$B12)/(I$6-$B12)/(1+I$6)^DCF!$I$6+(DCF!$C$28-DCF!$C$29+DCF!$C$30))/DCF!$C$32</f>
        <v/>
      </c>
      <c r="J12" s="64">
        <f>(SUMPRODUCT(DCF!$E$11:$I$11,1/(1+J$6)^DCF!$E$7:$I$7)+DCF!$I$9*(1+$B12)/(J$6-$B12)/(1+J$6)^DCF!$I$6+(DCF!$C$28-DCF!$C$29+DCF!$C$30))/DCF!$C$32</f>
        <v/>
      </c>
      <c r="K12" s="64">
        <f>(SUMPRODUCT(DCF!$E$11:$I$11,1/(1+K$6)^DCF!$E$7:$I$7)+DCF!$I$9*(1+$B12)/(K$6-$B12)/(1+K$6)^DCF!$I$6+(DCF!$C$28-DCF!$C$29+DCF!$C$30))/DCF!$C$32</f>
        <v/>
      </c>
    </row>
    <row r="13">
      <c r="B13" s="63">
        <f>$B$11+(2)*$N$6</f>
        <v/>
      </c>
      <c r="C13" s="64">
        <f>(SUMPRODUCT(DCF!$E$11:$I$11,1/(1+C$6)^DCF!$E$7:$I$7)+DCF!$I$9*(1+$B13)/(C$6-$B13)/(1+C$6)^DCF!$I$6+(DCF!$C$28-DCF!$C$29+DCF!$C$30))/DCF!$C$32</f>
        <v/>
      </c>
      <c r="D13" s="64">
        <f>(SUMPRODUCT(DCF!$E$11:$I$11,1/(1+D$6)^DCF!$E$7:$I$7)+DCF!$I$9*(1+$B13)/(D$6-$B13)/(1+D$6)^DCF!$I$6+(DCF!$C$28-DCF!$C$29+DCF!$C$30))/DCF!$C$32</f>
        <v/>
      </c>
      <c r="E13" s="64">
        <f>(SUMPRODUCT(DCF!$E$11:$I$11,1/(1+E$6)^DCF!$E$7:$I$7)+DCF!$I$9*(1+$B13)/(E$6-$B13)/(1+E$6)^DCF!$I$6+(DCF!$C$28-DCF!$C$29+DCF!$C$30))/DCF!$C$32</f>
        <v/>
      </c>
      <c r="F13" s="64">
        <f>(SUMPRODUCT(DCF!$E$11:$I$11,1/(1+F$6)^DCF!$E$7:$I$7)+DCF!$I$9*(1+$B13)/(F$6-$B13)/(1+F$6)^DCF!$I$6+(DCF!$C$28-DCF!$C$29+DCF!$C$30))/DCF!$C$32</f>
        <v/>
      </c>
      <c r="G13" s="64">
        <f>(SUMPRODUCT(DCF!$E$11:$I$11,1/(1+G$6)^DCF!$E$7:$I$7)+DCF!$I$9*(1+$B13)/(G$6-$B13)/(1+G$6)^DCF!$I$6+(DCF!$C$28-DCF!$C$29+DCF!$C$30))/DCF!$C$32</f>
        <v/>
      </c>
      <c r="H13" s="64">
        <f>(SUMPRODUCT(DCF!$E$11:$I$11,1/(1+H$6)^DCF!$E$7:$I$7)+DCF!$I$9*(1+$B13)/(H$6-$B13)/(1+H$6)^DCF!$I$6+(DCF!$C$28-DCF!$C$29+DCF!$C$30))/DCF!$C$32</f>
        <v/>
      </c>
      <c r="I13" s="64">
        <f>(SUMPRODUCT(DCF!$E$11:$I$11,1/(1+I$6)^DCF!$E$7:$I$7)+DCF!$I$9*(1+$B13)/(I$6-$B13)/(1+I$6)^DCF!$I$6+(DCF!$C$28-DCF!$C$29+DCF!$C$30))/DCF!$C$32</f>
        <v/>
      </c>
      <c r="J13" s="64">
        <f>(SUMPRODUCT(DCF!$E$11:$I$11,1/(1+J$6)^DCF!$E$7:$I$7)+DCF!$I$9*(1+$B13)/(J$6-$B13)/(1+J$6)^DCF!$I$6+(DCF!$C$28-DCF!$C$29+DCF!$C$30))/DCF!$C$32</f>
        <v/>
      </c>
      <c r="K13" s="64">
        <f>(SUMPRODUCT(DCF!$E$11:$I$11,1/(1+K$6)^DCF!$E$7:$I$7)+DCF!$I$9*(1+$B13)/(K$6-$B13)/(1+K$6)^DCF!$I$6+(DCF!$C$28-DCF!$C$29+DCF!$C$30))/DCF!$C$32</f>
        <v/>
      </c>
    </row>
    <row r="14">
      <c r="B14" s="63">
        <f>$B$11+(3)*$N$6</f>
        <v/>
      </c>
      <c r="C14" s="64">
        <f>(SUMPRODUCT(DCF!$E$11:$I$11,1/(1+C$6)^DCF!$E$7:$I$7)+DCF!$I$9*(1+$B14)/(C$6-$B14)/(1+C$6)^DCF!$I$6+(DCF!$C$28-DCF!$C$29+DCF!$C$30))/DCF!$C$32</f>
        <v/>
      </c>
      <c r="D14" s="64">
        <f>(SUMPRODUCT(DCF!$E$11:$I$11,1/(1+D$6)^DCF!$E$7:$I$7)+DCF!$I$9*(1+$B14)/(D$6-$B14)/(1+D$6)^DCF!$I$6+(DCF!$C$28-DCF!$C$29+DCF!$C$30))/DCF!$C$32</f>
        <v/>
      </c>
      <c r="E14" s="64">
        <f>(SUMPRODUCT(DCF!$E$11:$I$11,1/(1+E$6)^DCF!$E$7:$I$7)+DCF!$I$9*(1+$B14)/(E$6-$B14)/(1+E$6)^DCF!$I$6+(DCF!$C$28-DCF!$C$29+DCF!$C$30))/DCF!$C$32</f>
        <v/>
      </c>
      <c r="F14" s="64">
        <f>(SUMPRODUCT(DCF!$E$11:$I$11,1/(1+F$6)^DCF!$E$7:$I$7)+DCF!$I$9*(1+$B14)/(F$6-$B14)/(1+F$6)^DCF!$I$6+(DCF!$C$28-DCF!$C$29+DCF!$C$30))/DCF!$C$32</f>
        <v/>
      </c>
      <c r="G14" s="64">
        <f>(SUMPRODUCT(DCF!$E$11:$I$11,1/(1+G$6)^DCF!$E$7:$I$7)+DCF!$I$9*(1+$B14)/(G$6-$B14)/(1+G$6)^DCF!$I$6+(DCF!$C$28-DCF!$C$29+DCF!$C$30))/DCF!$C$32</f>
        <v/>
      </c>
      <c r="H14" s="64">
        <f>(SUMPRODUCT(DCF!$E$11:$I$11,1/(1+H$6)^DCF!$E$7:$I$7)+DCF!$I$9*(1+$B14)/(H$6-$B14)/(1+H$6)^DCF!$I$6+(DCF!$C$28-DCF!$C$29+DCF!$C$30))/DCF!$C$32</f>
        <v/>
      </c>
      <c r="I14" s="64">
        <f>(SUMPRODUCT(DCF!$E$11:$I$11,1/(1+I$6)^DCF!$E$7:$I$7)+DCF!$I$9*(1+$B14)/(I$6-$B14)/(1+I$6)^DCF!$I$6+(DCF!$C$28-DCF!$C$29+DCF!$C$30))/DCF!$C$32</f>
        <v/>
      </c>
      <c r="J14" s="64">
        <f>(SUMPRODUCT(DCF!$E$11:$I$11,1/(1+J$6)^DCF!$E$7:$I$7)+DCF!$I$9*(1+$B14)/(J$6-$B14)/(1+J$6)^DCF!$I$6+(DCF!$C$28-DCF!$C$29+DCF!$C$30))/DCF!$C$32</f>
        <v/>
      </c>
      <c r="K14" s="64">
        <f>(SUMPRODUCT(DCF!$E$11:$I$11,1/(1+K$6)^DCF!$E$7:$I$7)+DCF!$I$9*(1+$B14)/(K$6-$B14)/(1+K$6)^DCF!$I$6+(DCF!$C$28-DCF!$C$29+DCF!$C$30))/DCF!$C$32</f>
        <v/>
      </c>
    </row>
    <row r="15">
      <c r="B15" s="63">
        <f>$B$11+(4)*$N$6</f>
        <v/>
      </c>
      <c r="C15" s="64">
        <f>(SUMPRODUCT(DCF!$E$11:$I$11,1/(1+C$6)^DCF!$E$7:$I$7)+DCF!$I$9*(1+$B15)/(C$6-$B15)/(1+C$6)^DCF!$I$6+(DCF!$C$28-DCF!$C$29+DCF!$C$30))/DCF!$C$32</f>
        <v/>
      </c>
      <c r="D15" s="64">
        <f>(SUMPRODUCT(DCF!$E$11:$I$11,1/(1+D$6)^DCF!$E$7:$I$7)+DCF!$I$9*(1+$B15)/(D$6-$B15)/(1+D$6)^DCF!$I$6+(DCF!$C$28-DCF!$C$29+DCF!$C$30))/DCF!$C$32</f>
        <v/>
      </c>
      <c r="E15" s="64">
        <f>(SUMPRODUCT(DCF!$E$11:$I$11,1/(1+E$6)^DCF!$E$7:$I$7)+DCF!$I$9*(1+$B15)/(E$6-$B15)/(1+E$6)^DCF!$I$6+(DCF!$C$28-DCF!$C$29+DCF!$C$30))/DCF!$C$32</f>
        <v/>
      </c>
      <c r="F15" s="64">
        <f>(SUMPRODUCT(DCF!$E$11:$I$11,1/(1+F$6)^DCF!$E$7:$I$7)+DCF!$I$9*(1+$B15)/(F$6-$B15)/(1+F$6)^DCF!$I$6+(DCF!$C$28-DCF!$C$29+DCF!$C$30))/DCF!$C$32</f>
        <v/>
      </c>
      <c r="G15" s="64">
        <f>(SUMPRODUCT(DCF!$E$11:$I$11,1/(1+G$6)^DCF!$E$7:$I$7)+DCF!$I$9*(1+$B15)/(G$6-$B15)/(1+G$6)^DCF!$I$6+(DCF!$C$28-DCF!$C$29+DCF!$C$30))/DCF!$C$32</f>
        <v/>
      </c>
      <c r="H15" s="64">
        <f>(SUMPRODUCT(DCF!$E$11:$I$11,1/(1+H$6)^DCF!$E$7:$I$7)+DCF!$I$9*(1+$B15)/(H$6-$B15)/(1+H$6)^DCF!$I$6+(DCF!$C$28-DCF!$C$29+DCF!$C$30))/DCF!$C$32</f>
        <v/>
      </c>
      <c r="I15" s="64">
        <f>(SUMPRODUCT(DCF!$E$11:$I$11,1/(1+I$6)^DCF!$E$7:$I$7)+DCF!$I$9*(1+$B15)/(I$6-$B15)/(1+I$6)^DCF!$I$6+(DCF!$C$28-DCF!$C$29+DCF!$C$30))/DCF!$C$32</f>
        <v/>
      </c>
      <c r="J15" s="64">
        <f>(SUMPRODUCT(DCF!$E$11:$I$11,1/(1+J$6)^DCF!$E$7:$I$7)+DCF!$I$9*(1+$B15)/(J$6-$B15)/(1+J$6)^DCF!$I$6+(DCF!$C$28-DCF!$C$29+DCF!$C$30))/DCF!$C$32</f>
        <v/>
      </c>
      <c r="K15" s="64">
        <f>(SUMPRODUCT(DCF!$E$11:$I$11,1/(1+K$6)^DCF!$E$7:$I$7)+DCF!$I$9*(1+$B15)/(K$6-$B15)/(1+K$6)^DCF!$I$6+(DCF!$C$28-DCF!$C$29+DCF!$C$30))/DCF!$C$32</f>
        <v/>
      </c>
    </row>
    <row r="17">
      <c r="B17" s="8" t="inlineStr">
        <is>
          <t>Table 2: WACC vs exit EV/EBITDA multiple (Exit Multiple method)</t>
        </is>
      </c>
    </row>
    <row r="18">
      <c r="C18" s="3" t="inlineStr">
        <is>
          <t>WACC →</t>
        </is>
      </c>
    </row>
    <row r="19">
      <c r="B19" s="61" t="inlineStr">
        <is>
          <t>Multiple ↓  /  WACC →</t>
        </is>
      </c>
      <c r="C19" s="62">
        <f>$G$19+(-4)*$N$5</f>
        <v/>
      </c>
      <c r="D19" s="62">
        <f>$G$19+(-3)*$N$5</f>
        <v/>
      </c>
      <c r="E19" s="62">
        <f>$G$19+(-2)*$N$5</f>
        <v/>
      </c>
      <c r="F19" s="62">
        <f>$G$19+(-1)*$N$5</f>
        <v/>
      </c>
      <c r="G19" s="62">
        <f>WACC!$C$35</f>
        <v/>
      </c>
      <c r="H19" s="62">
        <f>$G$19+(1)*$N$5</f>
        <v/>
      </c>
      <c r="I19" s="62">
        <f>$G$19+(2)*$N$5</f>
        <v/>
      </c>
      <c r="J19" s="62">
        <f>$G$19+(3)*$N$5</f>
        <v/>
      </c>
      <c r="K19" s="62">
        <f>$G$19+(4)*$N$5</f>
        <v/>
      </c>
    </row>
    <row r="20">
      <c r="B20" s="66">
        <f>$B$24+(-4)*$N$7</f>
        <v/>
      </c>
      <c r="C20" s="64">
        <f>(SUMPRODUCT(DCF!$E$11:$I$11,1/(1+C$19)^DCF!$E$7:$I$7)+Forecast!$L$13*$B20/(1+C$19)^DCF!$I$6+(DCF!$C$28-DCF!$C$29+DCF!$C$30))/DCF!$C$32</f>
        <v/>
      </c>
      <c r="D20" s="64">
        <f>(SUMPRODUCT(DCF!$E$11:$I$11,1/(1+D$19)^DCF!$E$7:$I$7)+Forecast!$L$13*$B20/(1+D$19)^DCF!$I$6+(DCF!$C$28-DCF!$C$29+DCF!$C$30))/DCF!$C$32</f>
        <v/>
      </c>
      <c r="E20" s="64">
        <f>(SUMPRODUCT(DCF!$E$11:$I$11,1/(1+E$19)^DCF!$E$7:$I$7)+Forecast!$L$13*$B20/(1+E$19)^DCF!$I$6+(DCF!$C$28-DCF!$C$29+DCF!$C$30))/DCF!$C$32</f>
        <v/>
      </c>
      <c r="F20" s="64">
        <f>(SUMPRODUCT(DCF!$E$11:$I$11,1/(1+F$19)^DCF!$E$7:$I$7)+Forecast!$L$13*$B20/(1+F$19)^DCF!$I$6+(DCF!$C$28-DCF!$C$29+DCF!$C$30))/DCF!$C$32</f>
        <v/>
      </c>
      <c r="G20" s="64">
        <f>(SUMPRODUCT(DCF!$E$11:$I$11,1/(1+G$19)^DCF!$E$7:$I$7)+Forecast!$L$13*$B20/(1+G$19)^DCF!$I$6+(DCF!$C$28-DCF!$C$29+DCF!$C$30))/DCF!$C$32</f>
        <v/>
      </c>
      <c r="H20" s="64">
        <f>(SUMPRODUCT(DCF!$E$11:$I$11,1/(1+H$19)^DCF!$E$7:$I$7)+Forecast!$L$13*$B20/(1+H$19)^DCF!$I$6+(DCF!$C$28-DCF!$C$29+DCF!$C$30))/DCF!$C$32</f>
        <v/>
      </c>
      <c r="I20" s="64">
        <f>(SUMPRODUCT(DCF!$E$11:$I$11,1/(1+I$19)^DCF!$E$7:$I$7)+Forecast!$L$13*$B20/(1+I$19)^DCF!$I$6+(DCF!$C$28-DCF!$C$29+DCF!$C$30))/DCF!$C$32</f>
        <v/>
      </c>
      <c r="J20" s="64">
        <f>(SUMPRODUCT(DCF!$E$11:$I$11,1/(1+J$19)^DCF!$E$7:$I$7)+Forecast!$L$13*$B20/(1+J$19)^DCF!$I$6+(DCF!$C$28-DCF!$C$29+DCF!$C$30))/DCF!$C$32</f>
        <v/>
      </c>
      <c r="K20" s="64">
        <f>(SUMPRODUCT(DCF!$E$11:$I$11,1/(1+K$19)^DCF!$E$7:$I$7)+Forecast!$L$13*$B20/(1+K$19)^DCF!$I$6+(DCF!$C$28-DCF!$C$29+DCF!$C$30))/DCF!$C$32</f>
        <v/>
      </c>
    </row>
    <row r="21">
      <c r="B21" s="66">
        <f>$B$24+(-3)*$N$7</f>
        <v/>
      </c>
      <c r="C21" s="64">
        <f>(SUMPRODUCT(DCF!$E$11:$I$11,1/(1+C$19)^DCF!$E$7:$I$7)+Forecast!$L$13*$B21/(1+C$19)^DCF!$I$6+(DCF!$C$28-DCF!$C$29+DCF!$C$30))/DCF!$C$32</f>
        <v/>
      </c>
      <c r="D21" s="64">
        <f>(SUMPRODUCT(DCF!$E$11:$I$11,1/(1+D$19)^DCF!$E$7:$I$7)+Forecast!$L$13*$B21/(1+D$19)^DCF!$I$6+(DCF!$C$28-DCF!$C$29+DCF!$C$30))/DCF!$C$32</f>
        <v/>
      </c>
      <c r="E21" s="64">
        <f>(SUMPRODUCT(DCF!$E$11:$I$11,1/(1+E$19)^DCF!$E$7:$I$7)+Forecast!$L$13*$B21/(1+E$19)^DCF!$I$6+(DCF!$C$28-DCF!$C$29+DCF!$C$30))/DCF!$C$32</f>
        <v/>
      </c>
      <c r="F21" s="64">
        <f>(SUMPRODUCT(DCF!$E$11:$I$11,1/(1+F$19)^DCF!$E$7:$I$7)+Forecast!$L$13*$B21/(1+F$19)^DCF!$I$6+(DCF!$C$28-DCF!$C$29+DCF!$C$30))/DCF!$C$32</f>
        <v/>
      </c>
      <c r="G21" s="64">
        <f>(SUMPRODUCT(DCF!$E$11:$I$11,1/(1+G$19)^DCF!$E$7:$I$7)+Forecast!$L$13*$B21/(1+G$19)^DCF!$I$6+(DCF!$C$28-DCF!$C$29+DCF!$C$30))/DCF!$C$32</f>
        <v/>
      </c>
      <c r="H21" s="64">
        <f>(SUMPRODUCT(DCF!$E$11:$I$11,1/(1+H$19)^DCF!$E$7:$I$7)+Forecast!$L$13*$B21/(1+H$19)^DCF!$I$6+(DCF!$C$28-DCF!$C$29+DCF!$C$30))/DCF!$C$32</f>
        <v/>
      </c>
      <c r="I21" s="64">
        <f>(SUMPRODUCT(DCF!$E$11:$I$11,1/(1+I$19)^DCF!$E$7:$I$7)+Forecast!$L$13*$B21/(1+I$19)^DCF!$I$6+(DCF!$C$28-DCF!$C$29+DCF!$C$30))/DCF!$C$32</f>
        <v/>
      </c>
      <c r="J21" s="64">
        <f>(SUMPRODUCT(DCF!$E$11:$I$11,1/(1+J$19)^DCF!$E$7:$I$7)+Forecast!$L$13*$B21/(1+J$19)^DCF!$I$6+(DCF!$C$28-DCF!$C$29+DCF!$C$30))/DCF!$C$32</f>
        <v/>
      </c>
      <c r="K21" s="64">
        <f>(SUMPRODUCT(DCF!$E$11:$I$11,1/(1+K$19)^DCF!$E$7:$I$7)+Forecast!$L$13*$B21/(1+K$19)^DCF!$I$6+(DCF!$C$28-DCF!$C$29+DCF!$C$30))/DCF!$C$32</f>
        <v/>
      </c>
    </row>
    <row r="22">
      <c r="B22" s="66">
        <f>$B$24+(-2)*$N$7</f>
        <v/>
      </c>
      <c r="C22" s="64">
        <f>(SUMPRODUCT(DCF!$E$11:$I$11,1/(1+C$19)^DCF!$E$7:$I$7)+Forecast!$L$13*$B22/(1+C$19)^DCF!$I$6+(DCF!$C$28-DCF!$C$29+DCF!$C$30))/DCF!$C$32</f>
        <v/>
      </c>
      <c r="D22" s="64">
        <f>(SUMPRODUCT(DCF!$E$11:$I$11,1/(1+D$19)^DCF!$E$7:$I$7)+Forecast!$L$13*$B22/(1+D$19)^DCF!$I$6+(DCF!$C$28-DCF!$C$29+DCF!$C$30))/DCF!$C$32</f>
        <v/>
      </c>
      <c r="E22" s="64">
        <f>(SUMPRODUCT(DCF!$E$11:$I$11,1/(1+E$19)^DCF!$E$7:$I$7)+Forecast!$L$13*$B22/(1+E$19)^DCF!$I$6+(DCF!$C$28-DCF!$C$29+DCF!$C$30))/DCF!$C$32</f>
        <v/>
      </c>
      <c r="F22" s="64">
        <f>(SUMPRODUCT(DCF!$E$11:$I$11,1/(1+F$19)^DCF!$E$7:$I$7)+Forecast!$L$13*$B22/(1+F$19)^DCF!$I$6+(DCF!$C$28-DCF!$C$29+DCF!$C$30))/DCF!$C$32</f>
        <v/>
      </c>
      <c r="G22" s="64">
        <f>(SUMPRODUCT(DCF!$E$11:$I$11,1/(1+G$19)^DCF!$E$7:$I$7)+Forecast!$L$13*$B22/(1+G$19)^DCF!$I$6+(DCF!$C$28-DCF!$C$29+DCF!$C$30))/DCF!$C$32</f>
        <v/>
      </c>
      <c r="H22" s="64">
        <f>(SUMPRODUCT(DCF!$E$11:$I$11,1/(1+H$19)^DCF!$E$7:$I$7)+Forecast!$L$13*$B22/(1+H$19)^DCF!$I$6+(DCF!$C$28-DCF!$C$29+DCF!$C$30))/DCF!$C$32</f>
        <v/>
      </c>
      <c r="I22" s="64">
        <f>(SUMPRODUCT(DCF!$E$11:$I$11,1/(1+I$19)^DCF!$E$7:$I$7)+Forecast!$L$13*$B22/(1+I$19)^DCF!$I$6+(DCF!$C$28-DCF!$C$29+DCF!$C$30))/DCF!$C$32</f>
        <v/>
      </c>
      <c r="J22" s="64">
        <f>(SUMPRODUCT(DCF!$E$11:$I$11,1/(1+J$19)^DCF!$E$7:$I$7)+Forecast!$L$13*$B22/(1+J$19)^DCF!$I$6+(DCF!$C$28-DCF!$C$29+DCF!$C$30))/DCF!$C$32</f>
        <v/>
      </c>
      <c r="K22" s="64">
        <f>(SUMPRODUCT(DCF!$E$11:$I$11,1/(1+K$19)^DCF!$E$7:$I$7)+Forecast!$L$13*$B22/(1+K$19)^DCF!$I$6+(DCF!$C$28-DCF!$C$29+DCF!$C$30))/DCF!$C$32</f>
        <v/>
      </c>
    </row>
    <row r="23">
      <c r="B23" s="66">
        <f>$B$24+(-1)*$N$7</f>
        <v/>
      </c>
      <c r="C23" s="64">
        <f>(SUMPRODUCT(DCF!$E$11:$I$11,1/(1+C$19)^DCF!$E$7:$I$7)+Forecast!$L$13*$B23/(1+C$19)^DCF!$I$6+(DCF!$C$28-DCF!$C$29+DCF!$C$30))/DCF!$C$32</f>
        <v/>
      </c>
      <c r="D23" s="64">
        <f>(SUMPRODUCT(DCF!$E$11:$I$11,1/(1+D$19)^DCF!$E$7:$I$7)+Forecast!$L$13*$B23/(1+D$19)^DCF!$I$6+(DCF!$C$28-DCF!$C$29+DCF!$C$30))/DCF!$C$32</f>
        <v/>
      </c>
      <c r="E23" s="64">
        <f>(SUMPRODUCT(DCF!$E$11:$I$11,1/(1+E$19)^DCF!$E$7:$I$7)+Forecast!$L$13*$B23/(1+E$19)^DCF!$I$6+(DCF!$C$28-DCF!$C$29+DCF!$C$30))/DCF!$C$32</f>
        <v/>
      </c>
      <c r="F23" s="64">
        <f>(SUMPRODUCT(DCF!$E$11:$I$11,1/(1+F$19)^DCF!$E$7:$I$7)+Forecast!$L$13*$B23/(1+F$19)^DCF!$I$6+(DCF!$C$28-DCF!$C$29+DCF!$C$30))/DCF!$C$32</f>
        <v/>
      </c>
      <c r="G23" s="64">
        <f>(SUMPRODUCT(DCF!$E$11:$I$11,1/(1+G$19)^DCF!$E$7:$I$7)+Forecast!$L$13*$B23/(1+G$19)^DCF!$I$6+(DCF!$C$28-DCF!$C$29+DCF!$C$30))/DCF!$C$32</f>
        <v/>
      </c>
      <c r="H23" s="64">
        <f>(SUMPRODUCT(DCF!$E$11:$I$11,1/(1+H$19)^DCF!$E$7:$I$7)+Forecast!$L$13*$B23/(1+H$19)^DCF!$I$6+(DCF!$C$28-DCF!$C$29+DCF!$C$30))/DCF!$C$32</f>
        <v/>
      </c>
      <c r="I23" s="64">
        <f>(SUMPRODUCT(DCF!$E$11:$I$11,1/(1+I$19)^DCF!$E$7:$I$7)+Forecast!$L$13*$B23/(1+I$19)^DCF!$I$6+(DCF!$C$28-DCF!$C$29+DCF!$C$30))/DCF!$C$32</f>
        <v/>
      </c>
      <c r="J23" s="64">
        <f>(SUMPRODUCT(DCF!$E$11:$I$11,1/(1+J$19)^DCF!$E$7:$I$7)+Forecast!$L$13*$B23/(1+J$19)^DCF!$I$6+(DCF!$C$28-DCF!$C$29+DCF!$C$30))/DCF!$C$32</f>
        <v/>
      </c>
      <c r="K23" s="64">
        <f>(SUMPRODUCT(DCF!$E$11:$I$11,1/(1+K$19)^DCF!$E$7:$I$7)+Forecast!$L$13*$B23/(1+K$19)^DCF!$I$6+(DCF!$C$28-DCF!$C$29+DCF!$C$30))/DCF!$C$32</f>
        <v/>
      </c>
    </row>
    <row r="24">
      <c r="B24" s="66">
        <f>Assumptions!$E$75</f>
        <v/>
      </c>
      <c r="C24" s="64">
        <f>(SUMPRODUCT(DCF!$E$11:$I$11,1/(1+C$19)^DCF!$E$7:$I$7)+Forecast!$L$13*$B24/(1+C$19)^DCF!$I$6+(DCF!$C$28-DCF!$C$29+DCF!$C$30))/DCF!$C$32</f>
        <v/>
      </c>
      <c r="D24" s="64">
        <f>(SUMPRODUCT(DCF!$E$11:$I$11,1/(1+D$19)^DCF!$E$7:$I$7)+Forecast!$L$13*$B24/(1+D$19)^DCF!$I$6+(DCF!$C$28-DCF!$C$29+DCF!$C$30))/DCF!$C$32</f>
        <v/>
      </c>
      <c r="E24" s="64">
        <f>(SUMPRODUCT(DCF!$E$11:$I$11,1/(1+E$19)^DCF!$E$7:$I$7)+Forecast!$L$13*$B24/(1+E$19)^DCF!$I$6+(DCF!$C$28-DCF!$C$29+DCF!$C$30))/DCF!$C$32</f>
        <v/>
      </c>
      <c r="F24" s="64">
        <f>(SUMPRODUCT(DCF!$E$11:$I$11,1/(1+F$19)^DCF!$E$7:$I$7)+Forecast!$L$13*$B24/(1+F$19)^DCF!$I$6+(DCF!$C$28-DCF!$C$29+DCF!$C$30))/DCF!$C$32</f>
        <v/>
      </c>
      <c r="G24" s="65">
        <f>(SUMPRODUCT(DCF!$E$11:$I$11,1/(1+G$19)^DCF!$E$7:$I$7)+Forecast!$L$13*$B24/(1+G$19)^DCF!$I$6+(DCF!$C$28-DCF!$C$29+DCF!$C$30))/DCF!$C$32</f>
        <v/>
      </c>
      <c r="H24" s="64">
        <f>(SUMPRODUCT(DCF!$E$11:$I$11,1/(1+H$19)^DCF!$E$7:$I$7)+Forecast!$L$13*$B24/(1+H$19)^DCF!$I$6+(DCF!$C$28-DCF!$C$29+DCF!$C$30))/DCF!$C$32</f>
        <v/>
      </c>
      <c r="I24" s="64">
        <f>(SUMPRODUCT(DCF!$E$11:$I$11,1/(1+I$19)^DCF!$E$7:$I$7)+Forecast!$L$13*$B24/(1+I$19)^DCF!$I$6+(DCF!$C$28-DCF!$C$29+DCF!$C$30))/DCF!$C$32</f>
        <v/>
      </c>
      <c r="J24" s="64">
        <f>(SUMPRODUCT(DCF!$E$11:$I$11,1/(1+J$19)^DCF!$E$7:$I$7)+Forecast!$L$13*$B24/(1+J$19)^DCF!$I$6+(DCF!$C$28-DCF!$C$29+DCF!$C$30))/DCF!$C$32</f>
        <v/>
      </c>
      <c r="K24" s="64">
        <f>(SUMPRODUCT(DCF!$E$11:$I$11,1/(1+K$19)^DCF!$E$7:$I$7)+Forecast!$L$13*$B24/(1+K$19)^DCF!$I$6+(DCF!$C$28-DCF!$C$29+DCF!$C$30))/DCF!$C$32</f>
        <v/>
      </c>
    </row>
    <row r="25">
      <c r="B25" s="66">
        <f>$B$24+(1)*$N$7</f>
        <v/>
      </c>
      <c r="C25" s="64">
        <f>(SUMPRODUCT(DCF!$E$11:$I$11,1/(1+C$19)^DCF!$E$7:$I$7)+Forecast!$L$13*$B25/(1+C$19)^DCF!$I$6+(DCF!$C$28-DCF!$C$29+DCF!$C$30))/DCF!$C$32</f>
        <v/>
      </c>
      <c r="D25" s="64">
        <f>(SUMPRODUCT(DCF!$E$11:$I$11,1/(1+D$19)^DCF!$E$7:$I$7)+Forecast!$L$13*$B25/(1+D$19)^DCF!$I$6+(DCF!$C$28-DCF!$C$29+DCF!$C$30))/DCF!$C$32</f>
        <v/>
      </c>
      <c r="E25" s="64">
        <f>(SUMPRODUCT(DCF!$E$11:$I$11,1/(1+E$19)^DCF!$E$7:$I$7)+Forecast!$L$13*$B25/(1+E$19)^DCF!$I$6+(DCF!$C$28-DCF!$C$29+DCF!$C$30))/DCF!$C$32</f>
        <v/>
      </c>
      <c r="F25" s="64">
        <f>(SUMPRODUCT(DCF!$E$11:$I$11,1/(1+F$19)^DCF!$E$7:$I$7)+Forecast!$L$13*$B25/(1+F$19)^DCF!$I$6+(DCF!$C$28-DCF!$C$29+DCF!$C$30))/DCF!$C$32</f>
        <v/>
      </c>
      <c r="G25" s="64">
        <f>(SUMPRODUCT(DCF!$E$11:$I$11,1/(1+G$19)^DCF!$E$7:$I$7)+Forecast!$L$13*$B25/(1+G$19)^DCF!$I$6+(DCF!$C$28-DCF!$C$29+DCF!$C$30))/DCF!$C$32</f>
        <v/>
      </c>
      <c r="H25" s="64">
        <f>(SUMPRODUCT(DCF!$E$11:$I$11,1/(1+H$19)^DCF!$E$7:$I$7)+Forecast!$L$13*$B25/(1+H$19)^DCF!$I$6+(DCF!$C$28-DCF!$C$29+DCF!$C$30))/DCF!$C$32</f>
        <v/>
      </c>
      <c r="I25" s="64">
        <f>(SUMPRODUCT(DCF!$E$11:$I$11,1/(1+I$19)^DCF!$E$7:$I$7)+Forecast!$L$13*$B25/(1+I$19)^DCF!$I$6+(DCF!$C$28-DCF!$C$29+DCF!$C$30))/DCF!$C$32</f>
        <v/>
      </c>
      <c r="J25" s="64">
        <f>(SUMPRODUCT(DCF!$E$11:$I$11,1/(1+J$19)^DCF!$E$7:$I$7)+Forecast!$L$13*$B25/(1+J$19)^DCF!$I$6+(DCF!$C$28-DCF!$C$29+DCF!$C$30))/DCF!$C$32</f>
        <v/>
      </c>
      <c r="K25" s="64">
        <f>(SUMPRODUCT(DCF!$E$11:$I$11,1/(1+K$19)^DCF!$E$7:$I$7)+Forecast!$L$13*$B25/(1+K$19)^DCF!$I$6+(DCF!$C$28-DCF!$C$29+DCF!$C$30))/DCF!$C$32</f>
        <v/>
      </c>
    </row>
    <row r="26">
      <c r="B26" s="66">
        <f>$B$24+(2)*$N$7</f>
        <v/>
      </c>
      <c r="C26" s="64">
        <f>(SUMPRODUCT(DCF!$E$11:$I$11,1/(1+C$19)^DCF!$E$7:$I$7)+Forecast!$L$13*$B26/(1+C$19)^DCF!$I$6+(DCF!$C$28-DCF!$C$29+DCF!$C$30))/DCF!$C$32</f>
        <v/>
      </c>
      <c r="D26" s="64">
        <f>(SUMPRODUCT(DCF!$E$11:$I$11,1/(1+D$19)^DCF!$E$7:$I$7)+Forecast!$L$13*$B26/(1+D$19)^DCF!$I$6+(DCF!$C$28-DCF!$C$29+DCF!$C$30))/DCF!$C$32</f>
        <v/>
      </c>
      <c r="E26" s="64">
        <f>(SUMPRODUCT(DCF!$E$11:$I$11,1/(1+E$19)^DCF!$E$7:$I$7)+Forecast!$L$13*$B26/(1+E$19)^DCF!$I$6+(DCF!$C$28-DCF!$C$29+DCF!$C$30))/DCF!$C$32</f>
        <v/>
      </c>
      <c r="F26" s="64">
        <f>(SUMPRODUCT(DCF!$E$11:$I$11,1/(1+F$19)^DCF!$E$7:$I$7)+Forecast!$L$13*$B26/(1+F$19)^DCF!$I$6+(DCF!$C$28-DCF!$C$29+DCF!$C$30))/DCF!$C$32</f>
        <v/>
      </c>
      <c r="G26" s="64">
        <f>(SUMPRODUCT(DCF!$E$11:$I$11,1/(1+G$19)^DCF!$E$7:$I$7)+Forecast!$L$13*$B26/(1+G$19)^DCF!$I$6+(DCF!$C$28-DCF!$C$29+DCF!$C$30))/DCF!$C$32</f>
        <v/>
      </c>
      <c r="H26" s="64">
        <f>(SUMPRODUCT(DCF!$E$11:$I$11,1/(1+H$19)^DCF!$E$7:$I$7)+Forecast!$L$13*$B26/(1+H$19)^DCF!$I$6+(DCF!$C$28-DCF!$C$29+DCF!$C$30))/DCF!$C$32</f>
        <v/>
      </c>
      <c r="I26" s="64">
        <f>(SUMPRODUCT(DCF!$E$11:$I$11,1/(1+I$19)^DCF!$E$7:$I$7)+Forecast!$L$13*$B26/(1+I$19)^DCF!$I$6+(DCF!$C$28-DCF!$C$29+DCF!$C$30))/DCF!$C$32</f>
        <v/>
      </c>
      <c r="J26" s="64">
        <f>(SUMPRODUCT(DCF!$E$11:$I$11,1/(1+J$19)^DCF!$E$7:$I$7)+Forecast!$L$13*$B26/(1+J$19)^DCF!$I$6+(DCF!$C$28-DCF!$C$29+DCF!$C$30))/DCF!$C$32</f>
        <v/>
      </c>
      <c r="K26" s="64">
        <f>(SUMPRODUCT(DCF!$E$11:$I$11,1/(1+K$19)^DCF!$E$7:$I$7)+Forecast!$L$13*$B26/(1+K$19)^DCF!$I$6+(DCF!$C$28-DCF!$C$29+DCF!$C$30))/DCF!$C$32</f>
        <v/>
      </c>
    </row>
    <row r="27">
      <c r="B27" s="66">
        <f>$B$24+(3)*$N$7</f>
        <v/>
      </c>
      <c r="C27" s="64">
        <f>(SUMPRODUCT(DCF!$E$11:$I$11,1/(1+C$19)^DCF!$E$7:$I$7)+Forecast!$L$13*$B27/(1+C$19)^DCF!$I$6+(DCF!$C$28-DCF!$C$29+DCF!$C$30))/DCF!$C$32</f>
        <v/>
      </c>
      <c r="D27" s="64">
        <f>(SUMPRODUCT(DCF!$E$11:$I$11,1/(1+D$19)^DCF!$E$7:$I$7)+Forecast!$L$13*$B27/(1+D$19)^DCF!$I$6+(DCF!$C$28-DCF!$C$29+DCF!$C$30))/DCF!$C$32</f>
        <v/>
      </c>
      <c r="E27" s="64">
        <f>(SUMPRODUCT(DCF!$E$11:$I$11,1/(1+E$19)^DCF!$E$7:$I$7)+Forecast!$L$13*$B27/(1+E$19)^DCF!$I$6+(DCF!$C$28-DCF!$C$29+DCF!$C$30))/DCF!$C$32</f>
        <v/>
      </c>
      <c r="F27" s="64">
        <f>(SUMPRODUCT(DCF!$E$11:$I$11,1/(1+F$19)^DCF!$E$7:$I$7)+Forecast!$L$13*$B27/(1+F$19)^DCF!$I$6+(DCF!$C$28-DCF!$C$29+DCF!$C$30))/DCF!$C$32</f>
        <v/>
      </c>
      <c r="G27" s="64">
        <f>(SUMPRODUCT(DCF!$E$11:$I$11,1/(1+G$19)^DCF!$E$7:$I$7)+Forecast!$L$13*$B27/(1+G$19)^DCF!$I$6+(DCF!$C$28-DCF!$C$29+DCF!$C$30))/DCF!$C$32</f>
        <v/>
      </c>
      <c r="H27" s="64">
        <f>(SUMPRODUCT(DCF!$E$11:$I$11,1/(1+H$19)^DCF!$E$7:$I$7)+Forecast!$L$13*$B27/(1+H$19)^DCF!$I$6+(DCF!$C$28-DCF!$C$29+DCF!$C$30))/DCF!$C$32</f>
        <v/>
      </c>
      <c r="I27" s="64">
        <f>(SUMPRODUCT(DCF!$E$11:$I$11,1/(1+I$19)^DCF!$E$7:$I$7)+Forecast!$L$13*$B27/(1+I$19)^DCF!$I$6+(DCF!$C$28-DCF!$C$29+DCF!$C$30))/DCF!$C$32</f>
        <v/>
      </c>
      <c r="J27" s="64">
        <f>(SUMPRODUCT(DCF!$E$11:$I$11,1/(1+J$19)^DCF!$E$7:$I$7)+Forecast!$L$13*$B27/(1+J$19)^DCF!$I$6+(DCF!$C$28-DCF!$C$29+DCF!$C$30))/DCF!$C$32</f>
        <v/>
      </c>
      <c r="K27" s="64">
        <f>(SUMPRODUCT(DCF!$E$11:$I$11,1/(1+K$19)^DCF!$E$7:$I$7)+Forecast!$L$13*$B27/(1+K$19)^DCF!$I$6+(DCF!$C$28-DCF!$C$29+DCF!$C$30))/DCF!$C$32</f>
        <v/>
      </c>
    </row>
    <row r="28">
      <c r="B28" s="66">
        <f>$B$24+(4)*$N$7</f>
        <v/>
      </c>
      <c r="C28" s="64">
        <f>(SUMPRODUCT(DCF!$E$11:$I$11,1/(1+C$19)^DCF!$E$7:$I$7)+Forecast!$L$13*$B28/(1+C$19)^DCF!$I$6+(DCF!$C$28-DCF!$C$29+DCF!$C$30))/DCF!$C$32</f>
        <v/>
      </c>
      <c r="D28" s="64">
        <f>(SUMPRODUCT(DCF!$E$11:$I$11,1/(1+D$19)^DCF!$E$7:$I$7)+Forecast!$L$13*$B28/(1+D$19)^DCF!$I$6+(DCF!$C$28-DCF!$C$29+DCF!$C$30))/DCF!$C$32</f>
        <v/>
      </c>
      <c r="E28" s="64">
        <f>(SUMPRODUCT(DCF!$E$11:$I$11,1/(1+E$19)^DCF!$E$7:$I$7)+Forecast!$L$13*$B28/(1+E$19)^DCF!$I$6+(DCF!$C$28-DCF!$C$29+DCF!$C$30))/DCF!$C$32</f>
        <v/>
      </c>
      <c r="F28" s="64">
        <f>(SUMPRODUCT(DCF!$E$11:$I$11,1/(1+F$19)^DCF!$E$7:$I$7)+Forecast!$L$13*$B28/(1+F$19)^DCF!$I$6+(DCF!$C$28-DCF!$C$29+DCF!$C$30))/DCF!$C$32</f>
        <v/>
      </c>
      <c r="G28" s="64">
        <f>(SUMPRODUCT(DCF!$E$11:$I$11,1/(1+G$19)^DCF!$E$7:$I$7)+Forecast!$L$13*$B28/(1+G$19)^DCF!$I$6+(DCF!$C$28-DCF!$C$29+DCF!$C$30))/DCF!$C$32</f>
        <v/>
      </c>
      <c r="H28" s="64">
        <f>(SUMPRODUCT(DCF!$E$11:$I$11,1/(1+H$19)^DCF!$E$7:$I$7)+Forecast!$L$13*$B28/(1+H$19)^DCF!$I$6+(DCF!$C$28-DCF!$C$29+DCF!$C$30))/DCF!$C$32</f>
        <v/>
      </c>
      <c r="I28" s="64">
        <f>(SUMPRODUCT(DCF!$E$11:$I$11,1/(1+I$19)^DCF!$E$7:$I$7)+Forecast!$L$13*$B28/(1+I$19)^DCF!$I$6+(DCF!$C$28-DCF!$C$29+DCF!$C$30))/DCF!$C$32</f>
        <v/>
      </c>
      <c r="J28" s="64">
        <f>(SUMPRODUCT(DCF!$E$11:$I$11,1/(1+J$19)^DCF!$E$7:$I$7)+Forecast!$L$13*$B28/(1+J$19)^DCF!$I$6+(DCF!$C$28-DCF!$C$29+DCF!$C$30))/DCF!$C$32</f>
        <v/>
      </c>
      <c r="K28" s="64">
        <f>(SUMPRODUCT(DCF!$E$11:$I$11,1/(1+K$19)^DCF!$E$7:$I$7)+Forecast!$L$13*$B28/(1+K$19)^DCF!$I$6+(DCF!$C$28-DCF!$C$29+DCF!$C$30))/DCF!$C$32</f>
        <v/>
      </c>
    </row>
    <row r="30">
      <c r="B30" s="11" t="inlineStr">
        <is>
          <t>Reading the tables: shaded cell = live base case and equals the DCF tab price. Bold underlined = implied price at or above today's share price.</t>
        </is>
      </c>
    </row>
    <row r="31">
      <c r="B31" s="8" t="inlineStr">
        <is>
          <t>Table 3: Blended price, WACC vs terminal growth (multiple held at base)</t>
        </is>
      </c>
    </row>
    <row r="32">
      <c r="C32" s="3" t="inlineStr">
        <is>
          <t>WACC →</t>
        </is>
      </c>
    </row>
    <row r="33">
      <c r="B33" s="61" t="inlineStr">
        <is>
          <t>g ↓  /  WACC →</t>
        </is>
      </c>
      <c r="C33" s="62">
        <f>$G$33+(-4)*$N$5</f>
        <v/>
      </c>
      <c r="D33" s="62">
        <f>$G$33+(-3)*$N$5</f>
        <v/>
      </c>
      <c r="E33" s="62">
        <f>$G$33+(-2)*$N$5</f>
        <v/>
      </c>
      <c r="F33" s="62">
        <f>$G$33+(-1)*$N$5</f>
        <v/>
      </c>
      <c r="G33" s="62">
        <f>WACC!$C$35</f>
        <v/>
      </c>
      <c r="H33" s="62">
        <f>$G$33+(1)*$N$5</f>
        <v/>
      </c>
      <c r="I33" s="62">
        <f>$G$33+(2)*$N$5</f>
        <v/>
      </c>
      <c r="J33" s="62">
        <f>$G$33+(3)*$N$5</f>
        <v/>
      </c>
      <c r="K33" s="62">
        <f>$G$33+(4)*$N$5</f>
        <v/>
      </c>
    </row>
    <row r="34">
      <c r="B34" s="63">
        <f>$B$38+(-4)*$N$6</f>
        <v/>
      </c>
      <c r="C34" s="64">
        <f>Assumptions!$C$11*((SUMPRODUCT(DCF!$E$11:$I$11,1/(1+C$33)^DCF!$E$7:$I$7)+DCF!$I$9*(1+$B34)/(C$33-$B34)/(1+C$33)^DCF!$I$6+(DCF!$C$28-DCF!$C$29+DCF!$C$30))/DCF!$C$32)+(1-Assumptions!$C$11)*((SUMPRODUCT(DCF!$E$11:$I$11,1/(1+C$33)^DCF!$E$7:$I$7)+Forecast!$L$13*Assumptions!$E$75/(1+C$33)^DCF!$I$6+(DCF!$C$28-DCF!$C$29+DCF!$C$30))/DCF!$C$32)</f>
        <v/>
      </c>
      <c r="D34" s="64">
        <f>Assumptions!$C$11*((SUMPRODUCT(DCF!$E$11:$I$11,1/(1+D$33)^DCF!$E$7:$I$7)+DCF!$I$9*(1+$B34)/(D$33-$B34)/(1+D$33)^DCF!$I$6+(DCF!$C$28-DCF!$C$29+DCF!$C$30))/DCF!$C$32)+(1-Assumptions!$C$11)*((SUMPRODUCT(DCF!$E$11:$I$11,1/(1+D$33)^DCF!$E$7:$I$7)+Forecast!$L$13*Assumptions!$E$75/(1+D$33)^DCF!$I$6+(DCF!$C$28-DCF!$C$29+DCF!$C$30))/DCF!$C$32)</f>
        <v/>
      </c>
      <c r="E34" s="64">
        <f>Assumptions!$C$11*((SUMPRODUCT(DCF!$E$11:$I$11,1/(1+E$33)^DCF!$E$7:$I$7)+DCF!$I$9*(1+$B34)/(E$33-$B34)/(1+E$33)^DCF!$I$6+(DCF!$C$28-DCF!$C$29+DCF!$C$30))/DCF!$C$32)+(1-Assumptions!$C$11)*((SUMPRODUCT(DCF!$E$11:$I$11,1/(1+E$33)^DCF!$E$7:$I$7)+Forecast!$L$13*Assumptions!$E$75/(1+E$33)^DCF!$I$6+(DCF!$C$28-DCF!$C$29+DCF!$C$30))/DCF!$C$32)</f>
        <v/>
      </c>
      <c r="F34" s="64">
        <f>Assumptions!$C$11*((SUMPRODUCT(DCF!$E$11:$I$11,1/(1+F$33)^DCF!$E$7:$I$7)+DCF!$I$9*(1+$B34)/(F$33-$B34)/(1+F$33)^DCF!$I$6+(DCF!$C$28-DCF!$C$29+DCF!$C$30))/DCF!$C$32)+(1-Assumptions!$C$11)*((SUMPRODUCT(DCF!$E$11:$I$11,1/(1+F$33)^DCF!$E$7:$I$7)+Forecast!$L$13*Assumptions!$E$75/(1+F$33)^DCF!$I$6+(DCF!$C$28-DCF!$C$29+DCF!$C$30))/DCF!$C$32)</f>
        <v/>
      </c>
      <c r="G34" s="64">
        <f>Assumptions!$C$11*((SUMPRODUCT(DCF!$E$11:$I$11,1/(1+G$33)^DCF!$E$7:$I$7)+DCF!$I$9*(1+$B34)/(G$33-$B34)/(1+G$33)^DCF!$I$6+(DCF!$C$28-DCF!$C$29+DCF!$C$30))/DCF!$C$32)+(1-Assumptions!$C$11)*((SUMPRODUCT(DCF!$E$11:$I$11,1/(1+G$33)^DCF!$E$7:$I$7)+Forecast!$L$13*Assumptions!$E$75/(1+G$33)^DCF!$I$6+(DCF!$C$28-DCF!$C$29+DCF!$C$30))/DCF!$C$32)</f>
        <v/>
      </c>
      <c r="H34" s="64">
        <f>Assumptions!$C$11*((SUMPRODUCT(DCF!$E$11:$I$11,1/(1+H$33)^DCF!$E$7:$I$7)+DCF!$I$9*(1+$B34)/(H$33-$B34)/(1+H$33)^DCF!$I$6+(DCF!$C$28-DCF!$C$29+DCF!$C$30))/DCF!$C$32)+(1-Assumptions!$C$11)*((SUMPRODUCT(DCF!$E$11:$I$11,1/(1+H$33)^DCF!$E$7:$I$7)+Forecast!$L$13*Assumptions!$E$75/(1+H$33)^DCF!$I$6+(DCF!$C$28-DCF!$C$29+DCF!$C$30))/DCF!$C$32)</f>
        <v/>
      </c>
      <c r="I34" s="64">
        <f>Assumptions!$C$11*((SUMPRODUCT(DCF!$E$11:$I$11,1/(1+I$33)^DCF!$E$7:$I$7)+DCF!$I$9*(1+$B34)/(I$33-$B34)/(1+I$33)^DCF!$I$6+(DCF!$C$28-DCF!$C$29+DCF!$C$30))/DCF!$C$32)+(1-Assumptions!$C$11)*((SUMPRODUCT(DCF!$E$11:$I$11,1/(1+I$33)^DCF!$E$7:$I$7)+Forecast!$L$13*Assumptions!$E$75/(1+I$33)^DCF!$I$6+(DCF!$C$28-DCF!$C$29+DCF!$C$30))/DCF!$C$32)</f>
        <v/>
      </c>
      <c r="J34" s="64">
        <f>Assumptions!$C$11*((SUMPRODUCT(DCF!$E$11:$I$11,1/(1+J$33)^DCF!$E$7:$I$7)+DCF!$I$9*(1+$B34)/(J$33-$B34)/(1+J$33)^DCF!$I$6+(DCF!$C$28-DCF!$C$29+DCF!$C$30))/DCF!$C$32)+(1-Assumptions!$C$11)*((SUMPRODUCT(DCF!$E$11:$I$11,1/(1+J$33)^DCF!$E$7:$I$7)+Forecast!$L$13*Assumptions!$E$75/(1+J$33)^DCF!$I$6+(DCF!$C$28-DCF!$C$29+DCF!$C$30))/DCF!$C$32)</f>
        <v/>
      </c>
      <c r="K34" s="64">
        <f>Assumptions!$C$11*((SUMPRODUCT(DCF!$E$11:$I$11,1/(1+K$33)^DCF!$E$7:$I$7)+DCF!$I$9*(1+$B34)/(K$33-$B34)/(1+K$33)^DCF!$I$6+(DCF!$C$28-DCF!$C$29+DCF!$C$30))/DCF!$C$32)+(1-Assumptions!$C$11)*((SUMPRODUCT(DCF!$E$11:$I$11,1/(1+K$33)^DCF!$E$7:$I$7)+Forecast!$L$13*Assumptions!$E$75/(1+K$33)^DCF!$I$6+(DCF!$C$28-DCF!$C$29+DCF!$C$30))/DCF!$C$32)</f>
        <v/>
      </c>
    </row>
    <row r="35">
      <c r="B35" s="63">
        <f>$B$38+(-3)*$N$6</f>
        <v/>
      </c>
      <c r="C35" s="64">
        <f>Assumptions!$C$11*((SUMPRODUCT(DCF!$E$11:$I$11,1/(1+C$33)^DCF!$E$7:$I$7)+DCF!$I$9*(1+$B35)/(C$33-$B35)/(1+C$33)^DCF!$I$6+(DCF!$C$28-DCF!$C$29+DCF!$C$30))/DCF!$C$32)+(1-Assumptions!$C$11)*((SUMPRODUCT(DCF!$E$11:$I$11,1/(1+C$33)^DCF!$E$7:$I$7)+Forecast!$L$13*Assumptions!$E$75/(1+C$33)^DCF!$I$6+(DCF!$C$28-DCF!$C$29+DCF!$C$30))/DCF!$C$32)</f>
        <v/>
      </c>
      <c r="D35" s="64">
        <f>Assumptions!$C$11*((SUMPRODUCT(DCF!$E$11:$I$11,1/(1+D$33)^DCF!$E$7:$I$7)+DCF!$I$9*(1+$B35)/(D$33-$B35)/(1+D$33)^DCF!$I$6+(DCF!$C$28-DCF!$C$29+DCF!$C$30))/DCF!$C$32)+(1-Assumptions!$C$11)*((SUMPRODUCT(DCF!$E$11:$I$11,1/(1+D$33)^DCF!$E$7:$I$7)+Forecast!$L$13*Assumptions!$E$75/(1+D$33)^DCF!$I$6+(DCF!$C$28-DCF!$C$29+DCF!$C$30))/DCF!$C$32)</f>
        <v/>
      </c>
      <c r="E35" s="64">
        <f>Assumptions!$C$11*((SUMPRODUCT(DCF!$E$11:$I$11,1/(1+E$33)^DCF!$E$7:$I$7)+DCF!$I$9*(1+$B35)/(E$33-$B35)/(1+E$33)^DCF!$I$6+(DCF!$C$28-DCF!$C$29+DCF!$C$30))/DCF!$C$32)+(1-Assumptions!$C$11)*((SUMPRODUCT(DCF!$E$11:$I$11,1/(1+E$33)^DCF!$E$7:$I$7)+Forecast!$L$13*Assumptions!$E$75/(1+E$33)^DCF!$I$6+(DCF!$C$28-DCF!$C$29+DCF!$C$30))/DCF!$C$32)</f>
        <v/>
      </c>
      <c r="F35" s="64">
        <f>Assumptions!$C$11*((SUMPRODUCT(DCF!$E$11:$I$11,1/(1+F$33)^DCF!$E$7:$I$7)+DCF!$I$9*(1+$B35)/(F$33-$B35)/(1+F$33)^DCF!$I$6+(DCF!$C$28-DCF!$C$29+DCF!$C$30))/DCF!$C$32)+(1-Assumptions!$C$11)*((SUMPRODUCT(DCF!$E$11:$I$11,1/(1+F$33)^DCF!$E$7:$I$7)+Forecast!$L$13*Assumptions!$E$75/(1+F$33)^DCF!$I$6+(DCF!$C$28-DCF!$C$29+DCF!$C$30))/DCF!$C$32)</f>
        <v/>
      </c>
      <c r="G35" s="64">
        <f>Assumptions!$C$11*((SUMPRODUCT(DCF!$E$11:$I$11,1/(1+G$33)^DCF!$E$7:$I$7)+DCF!$I$9*(1+$B35)/(G$33-$B35)/(1+G$33)^DCF!$I$6+(DCF!$C$28-DCF!$C$29+DCF!$C$30))/DCF!$C$32)+(1-Assumptions!$C$11)*((SUMPRODUCT(DCF!$E$11:$I$11,1/(1+G$33)^DCF!$E$7:$I$7)+Forecast!$L$13*Assumptions!$E$75/(1+G$33)^DCF!$I$6+(DCF!$C$28-DCF!$C$29+DCF!$C$30))/DCF!$C$32)</f>
        <v/>
      </c>
      <c r="H35" s="64">
        <f>Assumptions!$C$11*((SUMPRODUCT(DCF!$E$11:$I$11,1/(1+H$33)^DCF!$E$7:$I$7)+DCF!$I$9*(1+$B35)/(H$33-$B35)/(1+H$33)^DCF!$I$6+(DCF!$C$28-DCF!$C$29+DCF!$C$30))/DCF!$C$32)+(1-Assumptions!$C$11)*((SUMPRODUCT(DCF!$E$11:$I$11,1/(1+H$33)^DCF!$E$7:$I$7)+Forecast!$L$13*Assumptions!$E$75/(1+H$33)^DCF!$I$6+(DCF!$C$28-DCF!$C$29+DCF!$C$30))/DCF!$C$32)</f>
        <v/>
      </c>
      <c r="I35" s="64">
        <f>Assumptions!$C$11*((SUMPRODUCT(DCF!$E$11:$I$11,1/(1+I$33)^DCF!$E$7:$I$7)+DCF!$I$9*(1+$B35)/(I$33-$B35)/(1+I$33)^DCF!$I$6+(DCF!$C$28-DCF!$C$29+DCF!$C$30))/DCF!$C$32)+(1-Assumptions!$C$11)*((SUMPRODUCT(DCF!$E$11:$I$11,1/(1+I$33)^DCF!$E$7:$I$7)+Forecast!$L$13*Assumptions!$E$75/(1+I$33)^DCF!$I$6+(DCF!$C$28-DCF!$C$29+DCF!$C$30))/DCF!$C$32)</f>
        <v/>
      </c>
      <c r="J35" s="64">
        <f>Assumptions!$C$11*((SUMPRODUCT(DCF!$E$11:$I$11,1/(1+J$33)^DCF!$E$7:$I$7)+DCF!$I$9*(1+$B35)/(J$33-$B35)/(1+J$33)^DCF!$I$6+(DCF!$C$28-DCF!$C$29+DCF!$C$30))/DCF!$C$32)+(1-Assumptions!$C$11)*((SUMPRODUCT(DCF!$E$11:$I$11,1/(1+J$33)^DCF!$E$7:$I$7)+Forecast!$L$13*Assumptions!$E$75/(1+J$33)^DCF!$I$6+(DCF!$C$28-DCF!$C$29+DCF!$C$30))/DCF!$C$32)</f>
        <v/>
      </c>
      <c r="K35" s="64">
        <f>Assumptions!$C$11*((SUMPRODUCT(DCF!$E$11:$I$11,1/(1+K$33)^DCF!$E$7:$I$7)+DCF!$I$9*(1+$B35)/(K$33-$B35)/(1+K$33)^DCF!$I$6+(DCF!$C$28-DCF!$C$29+DCF!$C$30))/DCF!$C$32)+(1-Assumptions!$C$11)*((SUMPRODUCT(DCF!$E$11:$I$11,1/(1+K$33)^DCF!$E$7:$I$7)+Forecast!$L$13*Assumptions!$E$75/(1+K$33)^DCF!$I$6+(DCF!$C$28-DCF!$C$29+DCF!$C$30))/DCF!$C$32)</f>
        <v/>
      </c>
    </row>
    <row r="36">
      <c r="B36" s="63">
        <f>$B$38+(-2)*$N$6</f>
        <v/>
      </c>
      <c r="C36" s="64">
        <f>Assumptions!$C$11*((SUMPRODUCT(DCF!$E$11:$I$11,1/(1+C$33)^DCF!$E$7:$I$7)+DCF!$I$9*(1+$B36)/(C$33-$B36)/(1+C$33)^DCF!$I$6+(DCF!$C$28-DCF!$C$29+DCF!$C$30))/DCF!$C$32)+(1-Assumptions!$C$11)*((SUMPRODUCT(DCF!$E$11:$I$11,1/(1+C$33)^DCF!$E$7:$I$7)+Forecast!$L$13*Assumptions!$E$75/(1+C$33)^DCF!$I$6+(DCF!$C$28-DCF!$C$29+DCF!$C$30))/DCF!$C$32)</f>
        <v/>
      </c>
      <c r="D36" s="64">
        <f>Assumptions!$C$11*((SUMPRODUCT(DCF!$E$11:$I$11,1/(1+D$33)^DCF!$E$7:$I$7)+DCF!$I$9*(1+$B36)/(D$33-$B36)/(1+D$33)^DCF!$I$6+(DCF!$C$28-DCF!$C$29+DCF!$C$30))/DCF!$C$32)+(1-Assumptions!$C$11)*((SUMPRODUCT(DCF!$E$11:$I$11,1/(1+D$33)^DCF!$E$7:$I$7)+Forecast!$L$13*Assumptions!$E$75/(1+D$33)^DCF!$I$6+(DCF!$C$28-DCF!$C$29+DCF!$C$30))/DCF!$C$32)</f>
        <v/>
      </c>
      <c r="E36" s="64">
        <f>Assumptions!$C$11*((SUMPRODUCT(DCF!$E$11:$I$11,1/(1+E$33)^DCF!$E$7:$I$7)+DCF!$I$9*(1+$B36)/(E$33-$B36)/(1+E$33)^DCF!$I$6+(DCF!$C$28-DCF!$C$29+DCF!$C$30))/DCF!$C$32)+(1-Assumptions!$C$11)*((SUMPRODUCT(DCF!$E$11:$I$11,1/(1+E$33)^DCF!$E$7:$I$7)+Forecast!$L$13*Assumptions!$E$75/(1+E$33)^DCF!$I$6+(DCF!$C$28-DCF!$C$29+DCF!$C$30))/DCF!$C$32)</f>
        <v/>
      </c>
      <c r="F36" s="64">
        <f>Assumptions!$C$11*((SUMPRODUCT(DCF!$E$11:$I$11,1/(1+F$33)^DCF!$E$7:$I$7)+DCF!$I$9*(1+$B36)/(F$33-$B36)/(1+F$33)^DCF!$I$6+(DCF!$C$28-DCF!$C$29+DCF!$C$30))/DCF!$C$32)+(1-Assumptions!$C$11)*((SUMPRODUCT(DCF!$E$11:$I$11,1/(1+F$33)^DCF!$E$7:$I$7)+Forecast!$L$13*Assumptions!$E$75/(1+F$33)^DCF!$I$6+(DCF!$C$28-DCF!$C$29+DCF!$C$30))/DCF!$C$32)</f>
        <v/>
      </c>
      <c r="G36" s="64">
        <f>Assumptions!$C$11*((SUMPRODUCT(DCF!$E$11:$I$11,1/(1+G$33)^DCF!$E$7:$I$7)+DCF!$I$9*(1+$B36)/(G$33-$B36)/(1+G$33)^DCF!$I$6+(DCF!$C$28-DCF!$C$29+DCF!$C$30))/DCF!$C$32)+(1-Assumptions!$C$11)*((SUMPRODUCT(DCF!$E$11:$I$11,1/(1+G$33)^DCF!$E$7:$I$7)+Forecast!$L$13*Assumptions!$E$75/(1+G$33)^DCF!$I$6+(DCF!$C$28-DCF!$C$29+DCF!$C$30))/DCF!$C$32)</f>
        <v/>
      </c>
      <c r="H36" s="64">
        <f>Assumptions!$C$11*((SUMPRODUCT(DCF!$E$11:$I$11,1/(1+H$33)^DCF!$E$7:$I$7)+DCF!$I$9*(1+$B36)/(H$33-$B36)/(1+H$33)^DCF!$I$6+(DCF!$C$28-DCF!$C$29+DCF!$C$30))/DCF!$C$32)+(1-Assumptions!$C$11)*((SUMPRODUCT(DCF!$E$11:$I$11,1/(1+H$33)^DCF!$E$7:$I$7)+Forecast!$L$13*Assumptions!$E$75/(1+H$33)^DCF!$I$6+(DCF!$C$28-DCF!$C$29+DCF!$C$30))/DCF!$C$32)</f>
        <v/>
      </c>
      <c r="I36" s="64">
        <f>Assumptions!$C$11*((SUMPRODUCT(DCF!$E$11:$I$11,1/(1+I$33)^DCF!$E$7:$I$7)+DCF!$I$9*(1+$B36)/(I$33-$B36)/(1+I$33)^DCF!$I$6+(DCF!$C$28-DCF!$C$29+DCF!$C$30))/DCF!$C$32)+(1-Assumptions!$C$11)*((SUMPRODUCT(DCF!$E$11:$I$11,1/(1+I$33)^DCF!$E$7:$I$7)+Forecast!$L$13*Assumptions!$E$75/(1+I$33)^DCF!$I$6+(DCF!$C$28-DCF!$C$29+DCF!$C$30))/DCF!$C$32)</f>
        <v/>
      </c>
      <c r="J36" s="64">
        <f>Assumptions!$C$11*((SUMPRODUCT(DCF!$E$11:$I$11,1/(1+J$33)^DCF!$E$7:$I$7)+DCF!$I$9*(1+$B36)/(J$33-$B36)/(1+J$33)^DCF!$I$6+(DCF!$C$28-DCF!$C$29+DCF!$C$30))/DCF!$C$32)+(1-Assumptions!$C$11)*((SUMPRODUCT(DCF!$E$11:$I$11,1/(1+J$33)^DCF!$E$7:$I$7)+Forecast!$L$13*Assumptions!$E$75/(1+J$33)^DCF!$I$6+(DCF!$C$28-DCF!$C$29+DCF!$C$30))/DCF!$C$32)</f>
        <v/>
      </c>
      <c r="K36" s="64">
        <f>Assumptions!$C$11*((SUMPRODUCT(DCF!$E$11:$I$11,1/(1+K$33)^DCF!$E$7:$I$7)+DCF!$I$9*(1+$B36)/(K$33-$B36)/(1+K$33)^DCF!$I$6+(DCF!$C$28-DCF!$C$29+DCF!$C$30))/DCF!$C$32)+(1-Assumptions!$C$11)*((SUMPRODUCT(DCF!$E$11:$I$11,1/(1+K$33)^DCF!$E$7:$I$7)+Forecast!$L$13*Assumptions!$E$75/(1+K$33)^DCF!$I$6+(DCF!$C$28-DCF!$C$29+DCF!$C$30))/DCF!$C$32)</f>
        <v/>
      </c>
    </row>
    <row r="37">
      <c r="B37" s="63">
        <f>$B$38+(-1)*$N$6</f>
        <v/>
      </c>
      <c r="C37" s="64">
        <f>Assumptions!$C$11*((SUMPRODUCT(DCF!$E$11:$I$11,1/(1+C$33)^DCF!$E$7:$I$7)+DCF!$I$9*(1+$B37)/(C$33-$B37)/(1+C$33)^DCF!$I$6+(DCF!$C$28-DCF!$C$29+DCF!$C$30))/DCF!$C$32)+(1-Assumptions!$C$11)*((SUMPRODUCT(DCF!$E$11:$I$11,1/(1+C$33)^DCF!$E$7:$I$7)+Forecast!$L$13*Assumptions!$E$75/(1+C$33)^DCF!$I$6+(DCF!$C$28-DCF!$C$29+DCF!$C$30))/DCF!$C$32)</f>
        <v/>
      </c>
      <c r="D37" s="64">
        <f>Assumptions!$C$11*((SUMPRODUCT(DCF!$E$11:$I$11,1/(1+D$33)^DCF!$E$7:$I$7)+DCF!$I$9*(1+$B37)/(D$33-$B37)/(1+D$33)^DCF!$I$6+(DCF!$C$28-DCF!$C$29+DCF!$C$30))/DCF!$C$32)+(1-Assumptions!$C$11)*((SUMPRODUCT(DCF!$E$11:$I$11,1/(1+D$33)^DCF!$E$7:$I$7)+Forecast!$L$13*Assumptions!$E$75/(1+D$33)^DCF!$I$6+(DCF!$C$28-DCF!$C$29+DCF!$C$30))/DCF!$C$32)</f>
        <v/>
      </c>
      <c r="E37" s="64">
        <f>Assumptions!$C$11*((SUMPRODUCT(DCF!$E$11:$I$11,1/(1+E$33)^DCF!$E$7:$I$7)+DCF!$I$9*(1+$B37)/(E$33-$B37)/(1+E$33)^DCF!$I$6+(DCF!$C$28-DCF!$C$29+DCF!$C$30))/DCF!$C$32)+(1-Assumptions!$C$11)*((SUMPRODUCT(DCF!$E$11:$I$11,1/(1+E$33)^DCF!$E$7:$I$7)+Forecast!$L$13*Assumptions!$E$75/(1+E$33)^DCF!$I$6+(DCF!$C$28-DCF!$C$29+DCF!$C$30))/DCF!$C$32)</f>
        <v/>
      </c>
      <c r="F37" s="64">
        <f>Assumptions!$C$11*((SUMPRODUCT(DCF!$E$11:$I$11,1/(1+F$33)^DCF!$E$7:$I$7)+DCF!$I$9*(1+$B37)/(F$33-$B37)/(1+F$33)^DCF!$I$6+(DCF!$C$28-DCF!$C$29+DCF!$C$30))/DCF!$C$32)+(1-Assumptions!$C$11)*((SUMPRODUCT(DCF!$E$11:$I$11,1/(1+F$33)^DCF!$E$7:$I$7)+Forecast!$L$13*Assumptions!$E$75/(1+F$33)^DCF!$I$6+(DCF!$C$28-DCF!$C$29+DCF!$C$30))/DCF!$C$32)</f>
        <v/>
      </c>
      <c r="G37" s="64">
        <f>Assumptions!$C$11*((SUMPRODUCT(DCF!$E$11:$I$11,1/(1+G$33)^DCF!$E$7:$I$7)+DCF!$I$9*(1+$B37)/(G$33-$B37)/(1+G$33)^DCF!$I$6+(DCF!$C$28-DCF!$C$29+DCF!$C$30))/DCF!$C$32)+(1-Assumptions!$C$11)*((SUMPRODUCT(DCF!$E$11:$I$11,1/(1+G$33)^DCF!$E$7:$I$7)+Forecast!$L$13*Assumptions!$E$75/(1+G$33)^DCF!$I$6+(DCF!$C$28-DCF!$C$29+DCF!$C$30))/DCF!$C$32)</f>
        <v/>
      </c>
      <c r="H37" s="64">
        <f>Assumptions!$C$11*((SUMPRODUCT(DCF!$E$11:$I$11,1/(1+H$33)^DCF!$E$7:$I$7)+DCF!$I$9*(1+$B37)/(H$33-$B37)/(1+H$33)^DCF!$I$6+(DCF!$C$28-DCF!$C$29+DCF!$C$30))/DCF!$C$32)+(1-Assumptions!$C$11)*((SUMPRODUCT(DCF!$E$11:$I$11,1/(1+H$33)^DCF!$E$7:$I$7)+Forecast!$L$13*Assumptions!$E$75/(1+H$33)^DCF!$I$6+(DCF!$C$28-DCF!$C$29+DCF!$C$30))/DCF!$C$32)</f>
        <v/>
      </c>
      <c r="I37" s="64">
        <f>Assumptions!$C$11*((SUMPRODUCT(DCF!$E$11:$I$11,1/(1+I$33)^DCF!$E$7:$I$7)+DCF!$I$9*(1+$B37)/(I$33-$B37)/(1+I$33)^DCF!$I$6+(DCF!$C$28-DCF!$C$29+DCF!$C$30))/DCF!$C$32)+(1-Assumptions!$C$11)*((SUMPRODUCT(DCF!$E$11:$I$11,1/(1+I$33)^DCF!$E$7:$I$7)+Forecast!$L$13*Assumptions!$E$75/(1+I$33)^DCF!$I$6+(DCF!$C$28-DCF!$C$29+DCF!$C$30))/DCF!$C$32)</f>
        <v/>
      </c>
      <c r="J37" s="64">
        <f>Assumptions!$C$11*((SUMPRODUCT(DCF!$E$11:$I$11,1/(1+J$33)^DCF!$E$7:$I$7)+DCF!$I$9*(1+$B37)/(J$33-$B37)/(1+J$33)^DCF!$I$6+(DCF!$C$28-DCF!$C$29+DCF!$C$30))/DCF!$C$32)+(1-Assumptions!$C$11)*((SUMPRODUCT(DCF!$E$11:$I$11,1/(1+J$33)^DCF!$E$7:$I$7)+Forecast!$L$13*Assumptions!$E$75/(1+J$33)^DCF!$I$6+(DCF!$C$28-DCF!$C$29+DCF!$C$30))/DCF!$C$32)</f>
        <v/>
      </c>
      <c r="K37" s="64">
        <f>Assumptions!$C$11*((SUMPRODUCT(DCF!$E$11:$I$11,1/(1+K$33)^DCF!$E$7:$I$7)+DCF!$I$9*(1+$B37)/(K$33-$B37)/(1+K$33)^DCF!$I$6+(DCF!$C$28-DCF!$C$29+DCF!$C$30))/DCF!$C$32)+(1-Assumptions!$C$11)*((SUMPRODUCT(DCF!$E$11:$I$11,1/(1+K$33)^DCF!$E$7:$I$7)+Forecast!$L$13*Assumptions!$E$75/(1+K$33)^DCF!$I$6+(DCF!$C$28-DCF!$C$29+DCF!$C$30))/DCF!$C$32)</f>
        <v/>
      </c>
    </row>
    <row r="38">
      <c r="B38" s="63">
        <f>Assumptions!$E$70</f>
        <v/>
      </c>
      <c r="C38" s="64">
        <f>Assumptions!$C$11*((SUMPRODUCT(DCF!$E$11:$I$11,1/(1+C$33)^DCF!$E$7:$I$7)+DCF!$I$9*(1+$B38)/(C$33-$B38)/(1+C$33)^DCF!$I$6+(DCF!$C$28-DCF!$C$29+DCF!$C$30))/DCF!$C$32)+(1-Assumptions!$C$11)*((SUMPRODUCT(DCF!$E$11:$I$11,1/(1+C$33)^DCF!$E$7:$I$7)+Forecast!$L$13*Assumptions!$E$75/(1+C$33)^DCF!$I$6+(DCF!$C$28-DCF!$C$29+DCF!$C$30))/DCF!$C$32)</f>
        <v/>
      </c>
      <c r="D38" s="64">
        <f>Assumptions!$C$11*((SUMPRODUCT(DCF!$E$11:$I$11,1/(1+D$33)^DCF!$E$7:$I$7)+DCF!$I$9*(1+$B38)/(D$33-$B38)/(1+D$33)^DCF!$I$6+(DCF!$C$28-DCF!$C$29+DCF!$C$30))/DCF!$C$32)+(1-Assumptions!$C$11)*((SUMPRODUCT(DCF!$E$11:$I$11,1/(1+D$33)^DCF!$E$7:$I$7)+Forecast!$L$13*Assumptions!$E$75/(1+D$33)^DCF!$I$6+(DCF!$C$28-DCF!$C$29+DCF!$C$30))/DCF!$C$32)</f>
        <v/>
      </c>
      <c r="E38" s="64">
        <f>Assumptions!$C$11*((SUMPRODUCT(DCF!$E$11:$I$11,1/(1+E$33)^DCF!$E$7:$I$7)+DCF!$I$9*(1+$B38)/(E$33-$B38)/(1+E$33)^DCF!$I$6+(DCF!$C$28-DCF!$C$29+DCF!$C$30))/DCF!$C$32)+(1-Assumptions!$C$11)*((SUMPRODUCT(DCF!$E$11:$I$11,1/(1+E$33)^DCF!$E$7:$I$7)+Forecast!$L$13*Assumptions!$E$75/(1+E$33)^DCF!$I$6+(DCF!$C$28-DCF!$C$29+DCF!$C$30))/DCF!$C$32)</f>
        <v/>
      </c>
      <c r="F38" s="64">
        <f>Assumptions!$C$11*((SUMPRODUCT(DCF!$E$11:$I$11,1/(1+F$33)^DCF!$E$7:$I$7)+DCF!$I$9*(1+$B38)/(F$33-$B38)/(1+F$33)^DCF!$I$6+(DCF!$C$28-DCF!$C$29+DCF!$C$30))/DCF!$C$32)+(1-Assumptions!$C$11)*((SUMPRODUCT(DCF!$E$11:$I$11,1/(1+F$33)^DCF!$E$7:$I$7)+Forecast!$L$13*Assumptions!$E$75/(1+F$33)^DCF!$I$6+(DCF!$C$28-DCF!$C$29+DCF!$C$30))/DCF!$C$32)</f>
        <v/>
      </c>
      <c r="G38" s="65">
        <f>Assumptions!$C$11*((SUMPRODUCT(DCF!$E$11:$I$11,1/(1+G$33)^DCF!$E$7:$I$7)+DCF!$I$9*(1+$B38)/(G$33-$B38)/(1+G$33)^DCF!$I$6+(DCF!$C$28-DCF!$C$29+DCF!$C$30))/DCF!$C$32)+(1-Assumptions!$C$11)*((SUMPRODUCT(DCF!$E$11:$I$11,1/(1+G$33)^DCF!$E$7:$I$7)+Forecast!$L$13*Assumptions!$E$75/(1+G$33)^DCF!$I$6+(DCF!$C$28-DCF!$C$29+DCF!$C$30))/DCF!$C$32)</f>
        <v/>
      </c>
      <c r="H38" s="64">
        <f>Assumptions!$C$11*((SUMPRODUCT(DCF!$E$11:$I$11,1/(1+H$33)^DCF!$E$7:$I$7)+DCF!$I$9*(1+$B38)/(H$33-$B38)/(1+H$33)^DCF!$I$6+(DCF!$C$28-DCF!$C$29+DCF!$C$30))/DCF!$C$32)+(1-Assumptions!$C$11)*((SUMPRODUCT(DCF!$E$11:$I$11,1/(1+H$33)^DCF!$E$7:$I$7)+Forecast!$L$13*Assumptions!$E$75/(1+H$33)^DCF!$I$6+(DCF!$C$28-DCF!$C$29+DCF!$C$30))/DCF!$C$32)</f>
        <v/>
      </c>
      <c r="I38" s="64">
        <f>Assumptions!$C$11*((SUMPRODUCT(DCF!$E$11:$I$11,1/(1+I$33)^DCF!$E$7:$I$7)+DCF!$I$9*(1+$B38)/(I$33-$B38)/(1+I$33)^DCF!$I$6+(DCF!$C$28-DCF!$C$29+DCF!$C$30))/DCF!$C$32)+(1-Assumptions!$C$11)*((SUMPRODUCT(DCF!$E$11:$I$11,1/(1+I$33)^DCF!$E$7:$I$7)+Forecast!$L$13*Assumptions!$E$75/(1+I$33)^DCF!$I$6+(DCF!$C$28-DCF!$C$29+DCF!$C$30))/DCF!$C$32)</f>
        <v/>
      </c>
      <c r="J38" s="64">
        <f>Assumptions!$C$11*((SUMPRODUCT(DCF!$E$11:$I$11,1/(1+J$33)^DCF!$E$7:$I$7)+DCF!$I$9*(1+$B38)/(J$33-$B38)/(1+J$33)^DCF!$I$6+(DCF!$C$28-DCF!$C$29+DCF!$C$30))/DCF!$C$32)+(1-Assumptions!$C$11)*((SUMPRODUCT(DCF!$E$11:$I$11,1/(1+J$33)^DCF!$E$7:$I$7)+Forecast!$L$13*Assumptions!$E$75/(1+J$33)^DCF!$I$6+(DCF!$C$28-DCF!$C$29+DCF!$C$30))/DCF!$C$32)</f>
        <v/>
      </c>
      <c r="K38" s="64">
        <f>Assumptions!$C$11*((SUMPRODUCT(DCF!$E$11:$I$11,1/(1+K$33)^DCF!$E$7:$I$7)+DCF!$I$9*(1+$B38)/(K$33-$B38)/(1+K$33)^DCF!$I$6+(DCF!$C$28-DCF!$C$29+DCF!$C$30))/DCF!$C$32)+(1-Assumptions!$C$11)*((SUMPRODUCT(DCF!$E$11:$I$11,1/(1+K$33)^DCF!$E$7:$I$7)+Forecast!$L$13*Assumptions!$E$75/(1+K$33)^DCF!$I$6+(DCF!$C$28-DCF!$C$29+DCF!$C$30))/DCF!$C$32)</f>
        <v/>
      </c>
    </row>
    <row r="39">
      <c r="B39" s="63">
        <f>$B$38+(1)*$N$6</f>
        <v/>
      </c>
      <c r="C39" s="64">
        <f>Assumptions!$C$11*((SUMPRODUCT(DCF!$E$11:$I$11,1/(1+C$33)^DCF!$E$7:$I$7)+DCF!$I$9*(1+$B39)/(C$33-$B39)/(1+C$33)^DCF!$I$6+(DCF!$C$28-DCF!$C$29+DCF!$C$30))/DCF!$C$32)+(1-Assumptions!$C$11)*((SUMPRODUCT(DCF!$E$11:$I$11,1/(1+C$33)^DCF!$E$7:$I$7)+Forecast!$L$13*Assumptions!$E$75/(1+C$33)^DCF!$I$6+(DCF!$C$28-DCF!$C$29+DCF!$C$30))/DCF!$C$32)</f>
        <v/>
      </c>
      <c r="D39" s="64">
        <f>Assumptions!$C$11*((SUMPRODUCT(DCF!$E$11:$I$11,1/(1+D$33)^DCF!$E$7:$I$7)+DCF!$I$9*(1+$B39)/(D$33-$B39)/(1+D$33)^DCF!$I$6+(DCF!$C$28-DCF!$C$29+DCF!$C$30))/DCF!$C$32)+(1-Assumptions!$C$11)*((SUMPRODUCT(DCF!$E$11:$I$11,1/(1+D$33)^DCF!$E$7:$I$7)+Forecast!$L$13*Assumptions!$E$75/(1+D$33)^DCF!$I$6+(DCF!$C$28-DCF!$C$29+DCF!$C$30))/DCF!$C$32)</f>
        <v/>
      </c>
      <c r="E39" s="64">
        <f>Assumptions!$C$11*((SUMPRODUCT(DCF!$E$11:$I$11,1/(1+E$33)^DCF!$E$7:$I$7)+DCF!$I$9*(1+$B39)/(E$33-$B39)/(1+E$33)^DCF!$I$6+(DCF!$C$28-DCF!$C$29+DCF!$C$30))/DCF!$C$32)+(1-Assumptions!$C$11)*((SUMPRODUCT(DCF!$E$11:$I$11,1/(1+E$33)^DCF!$E$7:$I$7)+Forecast!$L$13*Assumptions!$E$75/(1+E$33)^DCF!$I$6+(DCF!$C$28-DCF!$C$29+DCF!$C$30))/DCF!$C$32)</f>
        <v/>
      </c>
      <c r="F39" s="64">
        <f>Assumptions!$C$11*((SUMPRODUCT(DCF!$E$11:$I$11,1/(1+F$33)^DCF!$E$7:$I$7)+DCF!$I$9*(1+$B39)/(F$33-$B39)/(1+F$33)^DCF!$I$6+(DCF!$C$28-DCF!$C$29+DCF!$C$30))/DCF!$C$32)+(1-Assumptions!$C$11)*((SUMPRODUCT(DCF!$E$11:$I$11,1/(1+F$33)^DCF!$E$7:$I$7)+Forecast!$L$13*Assumptions!$E$75/(1+F$33)^DCF!$I$6+(DCF!$C$28-DCF!$C$29+DCF!$C$30))/DCF!$C$32)</f>
        <v/>
      </c>
      <c r="G39" s="64">
        <f>Assumptions!$C$11*((SUMPRODUCT(DCF!$E$11:$I$11,1/(1+G$33)^DCF!$E$7:$I$7)+DCF!$I$9*(1+$B39)/(G$33-$B39)/(1+G$33)^DCF!$I$6+(DCF!$C$28-DCF!$C$29+DCF!$C$30))/DCF!$C$32)+(1-Assumptions!$C$11)*((SUMPRODUCT(DCF!$E$11:$I$11,1/(1+G$33)^DCF!$E$7:$I$7)+Forecast!$L$13*Assumptions!$E$75/(1+G$33)^DCF!$I$6+(DCF!$C$28-DCF!$C$29+DCF!$C$30))/DCF!$C$32)</f>
        <v/>
      </c>
      <c r="H39" s="64">
        <f>Assumptions!$C$11*((SUMPRODUCT(DCF!$E$11:$I$11,1/(1+H$33)^DCF!$E$7:$I$7)+DCF!$I$9*(1+$B39)/(H$33-$B39)/(1+H$33)^DCF!$I$6+(DCF!$C$28-DCF!$C$29+DCF!$C$30))/DCF!$C$32)+(1-Assumptions!$C$11)*((SUMPRODUCT(DCF!$E$11:$I$11,1/(1+H$33)^DCF!$E$7:$I$7)+Forecast!$L$13*Assumptions!$E$75/(1+H$33)^DCF!$I$6+(DCF!$C$28-DCF!$C$29+DCF!$C$30))/DCF!$C$32)</f>
        <v/>
      </c>
      <c r="I39" s="64">
        <f>Assumptions!$C$11*((SUMPRODUCT(DCF!$E$11:$I$11,1/(1+I$33)^DCF!$E$7:$I$7)+DCF!$I$9*(1+$B39)/(I$33-$B39)/(1+I$33)^DCF!$I$6+(DCF!$C$28-DCF!$C$29+DCF!$C$30))/DCF!$C$32)+(1-Assumptions!$C$11)*((SUMPRODUCT(DCF!$E$11:$I$11,1/(1+I$33)^DCF!$E$7:$I$7)+Forecast!$L$13*Assumptions!$E$75/(1+I$33)^DCF!$I$6+(DCF!$C$28-DCF!$C$29+DCF!$C$30))/DCF!$C$32)</f>
        <v/>
      </c>
      <c r="J39" s="64">
        <f>Assumptions!$C$11*((SUMPRODUCT(DCF!$E$11:$I$11,1/(1+J$33)^DCF!$E$7:$I$7)+DCF!$I$9*(1+$B39)/(J$33-$B39)/(1+J$33)^DCF!$I$6+(DCF!$C$28-DCF!$C$29+DCF!$C$30))/DCF!$C$32)+(1-Assumptions!$C$11)*((SUMPRODUCT(DCF!$E$11:$I$11,1/(1+J$33)^DCF!$E$7:$I$7)+Forecast!$L$13*Assumptions!$E$75/(1+J$33)^DCF!$I$6+(DCF!$C$28-DCF!$C$29+DCF!$C$30))/DCF!$C$32)</f>
        <v/>
      </c>
      <c r="K39" s="64">
        <f>Assumptions!$C$11*((SUMPRODUCT(DCF!$E$11:$I$11,1/(1+K$33)^DCF!$E$7:$I$7)+DCF!$I$9*(1+$B39)/(K$33-$B39)/(1+K$33)^DCF!$I$6+(DCF!$C$28-DCF!$C$29+DCF!$C$30))/DCF!$C$32)+(1-Assumptions!$C$11)*((SUMPRODUCT(DCF!$E$11:$I$11,1/(1+K$33)^DCF!$E$7:$I$7)+Forecast!$L$13*Assumptions!$E$75/(1+K$33)^DCF!$I$6+(DCF!$C$28-DCF!$C$29+DCF!$C$30))/DCF!$C$32)</f>
        <v/>
      </c>
    </row>
    <row r="40">
      <c r="B40" s="63">
        <f>$B$38+(2)*$N$6</f>
        <v/>
      </c>
      <c r="C40" s="64">
        <f>Assumptions!$C$11*((SUMPRODUCT(DCF!$E$11:$I$11,1/(1+C$33)^DCF!$E$7:$I$7)+DCF!$I$9*(1+$B40)/(C$33-$B40)/(1+C$33)^DCF!$I$6+(DCF!$C$28-DCF!$C$29+DCF!$C$30))/DCF!$C$32)+(1-Assumptions!$C$11)*((SUMPRODUCT(DCF!$E$11:$I$11,1/(1+C$33)^DCF!$E$7:$I$7)+Forecast!$L$13*Assumptions!$E$75/(1+C$33)^DCF!$I$6+(DCF!$C$28-DCF!$C$29+DCF!$C$30))/DCF!$C$32)</f>
        <v/>
      </c>
      <c r="D40" s="64">
        <f>Assumptions!$C$11*((SUMPRODUCT(DCF!$E$11:$I$11,1/(1+D$33)^DCF!$E$7:$I$7)+DCF!$I$9*(1+$B40)/(D$33-$B40)/(1+D$33)^DCF!$I$6+(DCF!$C$28-DCF!$C$29+DCF!$C$30))/DCF!$C$32)+(1-Assumptions!$C$11)*((SUMPRODUCT(DCF!$E$11:$I$11,1/(1+D$33)^DCF!$E$7:$I$7)+Forecast!$L$13*Assumptions!$E$75/(1+D$33)^DCF!$I$6+(DCF!$C$28-DCF!$C$29+DCF!$C$30))/DCF!$C$32)</f>
        <v/>
      </c>
      <c r="E40" s="64">
        <f>Assumptions!$C$11*((SUMPRODUCT(DCF!$E$11:$I$11,1/(1+E$33)^DCF!$E$7:$I$7)+DCF!$I$9*(1+$B40)/(E$33-$B40)/(1+E$33)^DCF!$I$6+(DCF!$C$28-DCF!$C$29+DCF!$C$30))/DCF!$C$32)+(1-Assumptions!$C$11)*((SUMPRODUCT(DCF!$E$11:$I$11,1/(1+E$33)^DCF!$E$7:$I$7)+Forecast!$L$13*Assumptions!$E$75/(1+E$33)^DCF!$I$6+(DCF!$C$28-DCF!$C$29+DCF!$C$30))/DCF!$C$32)</f>
        <v/>
      </c>
      <c r="F40" s="64">
        <f>Assumptions!$C$11*((SUMPRODUCT(DCF!$E$11:$I$11,1/(1+F$33)^DCF!$E$7:$I$7)+DCF!$I$9*(1+$B40)/(F$33-$B40)/(1+F$33)^DCF!$I$6+(DCF!$C$28-DCF!$C$29+DCF!$C$30))/DCF!$C$32)+(1-Assumptions!$C$11)*((SUMPRODUCT(DCF!$E$11:$I$11,1/(1+F$33)^DCF!$E$7:$I$7)+Forecast!$L$13*Assumptions!$E$75/(1+F$33)^DCF!$I$6+(DCF!$C$28-DCF!$C$29+DCF!$C$30))/DCF!$C$32)</f>
        <v/>
      </c>
      <c r="G40" s="64">
        <f>Assumptions!$C$11*((SUMPRODUCT(DCF!$E$11:$I$11,1/(1+G$33)^DCF!$E$7:$I$7)+DCF!$I$9*(1+$B40)/(G$33-$B40)/(1+G$33)^DCF!$I$6+(DCF!$C$28-DCF!$C$29+DCF!$C$30))/DCF!$C$32)+(1-Assumptions!$C$11)*((SUMPRODUCT(DCF!$E$11:$I$11,1/(1+G$33)^DCF!$E$7:$I$7)+Forecast!$L$13*Assumptions!$E$75/(1+G$33)^DCF!$I$6+(DCF!$C$28-DCF!$C$29+DCF!$C$30))/DCF!$C$32)</f>
        <v/>
      </c>
      <c r="H40" s="64">
        <f>Assumptions!$C$11*((SUMPRODUCT(DCF!$E$11:$I$11,1/(1+H$33)^DCF!$E$7:$I$7)+DCF!$I$9*(1+$B40)/(H$33-$B40)/(1+H$33)^DCF!$I$6+(DCF!$C$28-DCF!$C$29+DCF!$C$30))/DCF!$C$32)+(1-Assumptions!$C$11)*((SUMPRODUCT(DCF!$E$11:$I$11,1/(1+H$33)^DCF!$E$7:$I$7)+Forecast!$L$13*Assumptions!$E$75/(1+H$33)^DCF!$I$6+(DCF!$C$28-DCF!$C$29+DCF!$C$30))/DCF!$C$32)</f>
        <v/>
      </c>
      <c r="I40" s="64">
        <f>Assumptions!$C$11*((SUMPRODUCT(DCF!$E$11:$I$11,1/(1+I$33)^DCF!$E$7:$I$7)+DCF!$I$9*(1+$B40)/(I$33-$B40)/(1+I$33)^DCF!$I$6+(DCF!$C$28-DCF!$C$29+DCF!$C$30))/DCF!$C$32)+(1-Assumptions!$C$11)*((SUMPRODUCT(DCF!$E$11:$I$11,1/(1+I$33)^DCF!$E$7:$I$7)+Forecast!$L$13*Assumptions!$E$75/(1+I$33)^DCF!$I$6+(DCF!$C$28-DCF!$C$29+DCF!$C$30))/DCF!$C$32)</f>
        <v/>
      </c>
      <c r="J40" s="64">
        <f>Assumptions!$C$11*((SUMPRODUCT(DCF!$E$11:$I$11,1/(1+J$33)^DCF!$E$7:$I$7)+DCF!$I$9*(1+$B40)/(J$33-$B40)/(1+J$33)^DCF!$I$6+(DCF!$C$28-DCF!$C$29+DCF!$C$30))/DCF!$C$32)+(1-Assumptions!$C$11)*((SUMPRODUCT(DCF!$E$11:$I$11,1/(1+J$33)^DCF!$E$7:$I$7)+Forecast!$L$13*Assumptions!$E$75/(1+J$33)^DCF!$I$6+(DCF!$C$28-DCF!$C$29+DCF!$C$30))/DCF!$C$32)</f>
        <v/>
      </c>
      <c r="K40" s="64">
        <f>Assumptions!$C$11*((SUMPRODUCT(DCF!$E$11:$I$11,1/(1+K$33)^DCF!$E$7:$I$7)+DCF!$I$9*(1+$B40)/(K$33-$B40)/(1+K$33)^DCF!$I$6+(DCF!$C$28-DCF!$C$29+DCF!$C$30))/DCF!$C$32)+(1-Assumptions!$C$11)*((SUMPRODUCT(DCF!$E$11:$I$11,1/(1+K$33)^DCF!$E$7:$I$7)+Forecast!$L$13*Assumptions!$E$75/(1+K$33)^DCF!$I$6+(DCF!$C$28-DCF!$C$29+DCF!$C$30))/DCF!$C$32)</f>
        <v/>
      </c>
    </row>
    <row r="41">
      <c r="B41" s="63">
        <f>$B$38+(3)*$N$6</f>
        <v/>
      </c>
      <c r="C41" s="64">
        <f>Assumptions!$C$11*((SUMPRODUCT(DCF!$E$11:$I$11,1/(1+C$33)^DCF!$E$7:$I$7)+DCF!$I$9*(1+$B41)/(C$33-$B41)/(1+C$33)^DCF!$I$6+(DCF!$C$28-DCF!$C$29+DCF!$C$30))/DCF!$C$32)+(1-Assumptions!$C$11)*((SUMPRODUCT(DCF!$E$11:$I$11,1/(1+C$33)^DCF!$E$7:$I$7)+Forecast!$L$13*Assumptions!$E$75/(1+C$33)^DCF!$I$6+(DCF!$C$28-DCF!$C$29+DCF!$C$30))/DCF!$C$32)</f>
        <v/>
      </c>
      <c r="D41" s="64">
        <f>Assumptions!$C$11*((SUMPRODUCT(DCF!$E$11:$I$11,1/(1+D$33)^DCF!$E$7:$I$7)+DCF!$I$9*(1+$B41)/(D$33-$B41)/(1+D$33)^DCF!$I$6+(DCF!$C$28-DCF!$C$29+DCF!$C$30))/DCF!$C$32)+(1-Assumptions!$C$11)*((SUMPRODUCT(DCF!$E$11:$I$11,1/(1+D$33)^DCF!$E$7:$I$7)+Forecast!$L$13*Assumptions!$E$75/(1+D$33)^DCF!$I$6+(DCF!$C$28-DCF!$C$29+DCF!$C$30))/DCF!$C$32)</f>
        <v/>
      </c>
      <c r="E41" s="64">
        <f>Assumptions!$C$11*((SUMPRODUCT(DCF!$E$11:$I$11,1/(1+E$33)^DCF!$E$7:$I$7)+DCF!$I$9*(1+$B41)/(E$33-$B41)/(1+E$33)^DCF!$I$6+(DCF!$C$28-DCF!$C$29+DCF!$C$30))/DCF!$C$32)+(1-Assumptions!$C$11)*((SUMPRODUCT(DCF!$E$11:$I$11,1/(1+E$33)^DCF!$E$7:$I$7)+Forecast!$L$13*Assumptions!$E$75/(1+E$33)^DCF!$I$6+(DCF!$C$28-DCF!$C$29+DCF!$C$30))/DCF!$C$32)</f>
        <v/>
      </c>
      <c r="F41" s="64">
        <f>Assumptions!$C$11*((SUMPRODUCT(DCF!$E$11:$I$11,1/(1+F$33)^DCF!$E$7:$I$7)+DCF!$I$9*(1+$B41)/(F$33-$B41)/(1+F$33)^DCF!$I$6+(DCF!$C$28-DCF!$C$29+DCF!$C$30))/DCF!$C$32)+(1-Assumptions!$C$11)*((SUMPRODUCT(DCF!$E$11:$I$11,1/(1+F$33)^DCF!$E$7:$I$7)+Forecast!$L$13*Assumptions!$E$75/(1+F$33)^DCF!$I$6+(DCF!$C$28-DCF!$C$29+DCF!$C$30))/DCF!$C$32)</f>
        <v/>
      </c>
      <c r="G41" s="64">
        <f>Assumptions!$C$11*((SUMPRODUCT(DCF!$E$11:$I$11,1/(1+G$33)^DCF!$E$7:$I$7)+DCF!$I$9*(1+$B41)/(G$33-$B41)/(1+G$33)^DCF!$I$6+(DCF!$C$28-DCF!$C$29+DCF!$C$30))/DCF!$C$32)+(1-Assumptions!$C$11)*((SUMPRODUCT(DCF!$E$11:$I$11,1/(1+G$33)^DCF!$E$7:$I$7)+Forecast!$L$13*Assumptions!$E$75/(1+G$33)^DCF!$I$6+(DCF!$C$28-DCF!$C$29+DCF!$C$30))/DCF!$C$32)</f>
        <v/>
      </c>
      <c r="H41" s="64">
        <f>Assumptions!$C$11*((SUMPRODUCT(DCF!$E$11:$I$11,1/(1+H$33)^DCF!$E$7:$I$7)+DCF!$I$9*(1+$B41)/(H$33-$B41)/(1+H$33)^DCF!$I$6+(DCF!$C$28-DCF!$C$29+DCF!$C$30))/DCF!$C$32)+(1-Assumptions!$C$11)*((SUMPRODUCT(DCF!$E$11:$I$11,1/(1+H$33)^DCF!$E$7:$I$7)+Forecast!$L$13*Assumptions!$E$75/(1+H$33)^DCF!$I$6+(DCF!$C$28-DCF!$C$29+DCF!$C$30))/DCF!$C$32)</f>
        <v/>
      </c>
      <c r="I41" s="64">
        <f>Assumptions!$C$11*((SUMPRODUCT(DCF!$E$11:$I$11,1/(1+I$33)^DCF!$E$7:$I$7)+DCF!$I$9*(1+$B41)/(I$33-$B41)/(1+I$33)^DCF!$I$6+(DCF!$C$28-DCF!$C$29+DCF!$C$30))/DCF!$C$32)+(1-Assumptions!$C$11)*((SUMPRODUCT(DCF!$E$11:$I$11,1/(1+I$33)^DCF!$E$7:$I$7)+Forecast!$L$13*Assumptions!$E$75/(1+I$33)^DCF!$I$6+(DCF!$C$28-DCF!$C$29+DCF!$C$30))/DCF!$C$32)</f>
        <v/>
      </c>
      <c r="J41" s="64">
        <f>Assumptions!$C$11*((SUMPRODUCT(DCF!$E$11:$I$11,1/(1+J$33)^DCF!$E$7:$I$7)+DCF!$I$9*(1+$B41)/(J$33-$B41)/(1+J$33)^DCF!$I$6+(DCF!$C$28-DCF!$C$29+DCF!$C$30))/DCF!$C$32)+(1-Assumptions!$C$11)*((SUMPRODUCT(DCF!$E$11:$I$11,1/(1+J$33)^DCF!$E$7:$I$7)+Forecast!$L$13*Assumptions!$E$75/(1+J$33)^DCF!$I$6+(DCF!$C$28-DCF!$C$29+DCF!$C$30))/DCF!$C$32)</f>
        <v/>
      </c>
      <c r="K41" s="64">
        <f>Assumptions!$C$11*((SUMPRODUCT(DCF!$E$11:$I$11,1/(1+K$33)^DCF!$E$7:$I$7)+DCF!$I$9*(1+$B41)/(K$33-$B41)/(1+K$33)^DCF!$I$6+(DCF!$C$28-DCF!$C$29+DCF!$C$30))/DCF!$C$32)+(1-Assumptions!$C$11)*((SUMPRODUCT(DCF!$E$11:$I$11,1/(1+K$33)^DCF!$E$7:$I$7)+Forecast!$L$13*Assumptions!$E$75/(1+K$33)^DCF!$I$6+(DCF!$C$28-DCF!$C$29+DCF!$C$30))/DCF!$C$32)</f>
        <v/>
      </c>
    </row>
    <row r="42">
      <c r="B42" s="63">
        <f>$B$38+(4)*$N$6</f>
        <v/>
      </c>
      <c r="C42" s="64">
        <f>Assumptions!$C$11*((SUMPRODUCT(DCF!$E$11:$I$11,1/(1+C$33)^DCF!$E$7:$I$7)+DCF!$I$9*(1+$B42)/(C$33-$B42)/(1+C$33)^DCF!$I$6+(DCF!$C$28-DCF!$C$29+DCF!$C$30))/DCF!$C$32)+(1-Assumptions!$C$11)*((SUMPRODUCT(DCF!$E$11:$I$11,1/(1+C$33)^DCF!$E$7:$I$7)+Forecast!$L$13*Assumptions!$E$75/(1+C$33)^DCF!$I$6+(DCF!$C$28-DCF!$C$29+DCF!$C$30))/DCF!$C$32)</f>
        <v/>
      </c>
      <c r="D42" s="64">
        <f>Assumptions!$C$11*((SUMPRODUCT(DCF!$E$11:$I$11,1/(1+D$33)^DCF!$E$7:$I$7)+DCF!$I$9*(1+$B42)/(D$33-$B42)/(1+D$33)^DCF!$I$6+(DCF!$C$28-DCF!$C$29+DCF!$C$30))/DCF!$C$32)+(1-Assumptions!$C$11)*((SUMPRODUCT(DCF!$E$11:$I$11,1/(1+D$33)^DCF!$E$7:$I$7)+Forecast!$L$13*Assumptions!$E$75/(1+D$33)^DCF!$I$6+(DCF!$C$28-DCF!$C$29+DCF!$C$30))/DCF!$C$32)</f>
        <v/>
      </c>
      <c r="E42" s="64">
        <f>Assumptions!$C$11*((SUMPRODUCT(DCF!$E$11:$I$11,1/(1+E$33)^DCF!$E$7:$I$7)+DCF!$I$9*(1+$B42)/(E$33-$B42)/(1+E$33)^DCF!$I$6+(DCF!$C$28-DCF!$C$29+DCF!$C$30))/DCF!$C$32)+(1-Assumptions!$C$11)*((SUMPRODUCT(DCF!$E$11:$I$11,1/(1+E$33)^DCF!$E$7:$I$7)+Forecast!$L$13*Assumptions!$E$75/(1+E$33)^DCF!$I$6+(DCF!$C$28-DCF!$C$29+DCF!$C$30))/DCF!$C$32)</f>
        <v/>
      </c>
      <c r="F42" s="64">
        <f>Assumptions!$C$11*((SUMPRODUCT(DCF!$E$11:$I$11,1/(1+F$33)^DCF!$E$7:$I$7)+DCF!$I$9*(1+$B42)/(F$33-$B42)/(1+F$33)^DCF!$I$6+(DCF!$C$28-DCF!$C$29+DCF!$C$30))/DCF!$C$32)+(1-Assumptions!$C$11)*((SUMPRODUCT(DCF!$E$11:$I$11,1/(1+F$33)^DCF!$E$7:$I$7)+Forecast!$L$13*Assumptions!$E$75/(1+F$33)^DCF!$I$6+(DCF!$C$28-DCF!$C$29+DCF!$C$30))/DCF!$C$32)</f>
        <v/>
      </c>
      <c r="G42" s="64">
        <f>Assumptions!$C$11*((SUMPRODUCT(DCF!$E$11:$I$11,1/(1+G$33)^DCF!$E$7:$I$7)+DCF!$I$9*(1+$B42)/(G$33-$B42)/(1+G$33)^DCF!$I$6+(DCF!$C$28-DCF!$C$29+DCF!$C$30))/DCF!$C$32)+(1-Assumptions!$C$11)*((SUMPRODUCT(DCF!$E$11:$I$11,1/(1+G$33)^DCF!$E$7:$I$7)+Forecast!$L$13*Assumptions!$E$75/(1+G$33)^DCF!$I$6+(DCF!$C$28-DCF!$C$29+DCF!$C$30))/DCF!$C$32)</f>
        <v/>
      </c>
      <c r="H42" s="64">
        <f>Assumptions!$C$11*((SUMPRODUCT(DCF!$E$11:$I$11,1/(1+H$33)^DCF!$E$7:$I$7)+DCF!$I$9*(1+$B42)/(H$33-$B42)/(1+H$33)^DCF!$I$6+(DCF!$C$28-DCF!$C$29+DCF!$C$30))/DCF!$C$32)+(1-Assumptions!$C$11)*((SUMPRODUCT(DCF!$E$11:$I$11,1/(1+H$33)^DCF!$E$7:$I$7)+Forecast!$L$13*Assumptions!$E$75/(1+H$33)^DCF!$I$6+(DCF!$C$28-DCF!$C$29+DCF!$C$30))/DCF!$C$32)</f>
        <v/>
      </c>
      <c r="I42" s="64">
        <f>Assumptions!$C$11*((SUMPRODUCT(DCF!$E$11:$I$11,1/(1+I$33)^DCF!$E$7:$I$7)+DCF!$I$9*(1+$B42)/(I$33-$B42)/(1+I$33)^DCF!$I$6+(DCF!$C$28-DCF!$C$29+DCF!$C$30))/DCF!$C$32)+(1-Assumptions!$C$11)*((SUMPRODUCT(DCF!$E$11:$I$11,1/(1+I$33)^DCF!$E$7:$I$7)+Forecast!$L$13*Assumptions!$E$75/(1+I$33)^DCF!$I$6+(DCF!$C$28-DCF!$C$29+DCF!$C$30))/DCF!$C$32)</f>
        <v/>
      </c>
      <c r="J42" s="64">
        <f>Assumptions!$C$11*((SUMPRODUCT(DCF!$E$11:$I$11,1/(1+J$33)^DCF!$E$7:$I$7)+DCF!$I$9*(1+$B42)/(J$33-$B42)/(1+J$33)^DCF!$I$6+(DCF!$C$28-DCF!$C$29+DCF!$C$30))/DCF!$C$32)+(1-Assumptions!$C$11)*((SUMPRODUCT(DCF!$E$11:$I$11,1/(1+J$33)^DCF!$E$7:$I$7)+Forecast!$L$13*Assumptions!$E$75/(1+J$33)^DCF!$I$6+(DCF!$C$28-DCF!$C$29+DCF!$C$30))/DCF!$C$32)</f>
        <v/>
      </c>
      <c r="K42" s="64">
        <f>Assumptions!$C$11*((SUMPRODUCT(DCF!$E$11:$I$11,1/(1+K$33)^DCF!$E$7:$I$7)+DCF!$I$9*(1+$B42)/(K$33-$B42)/(1+K$33)^DCF!$I$6+(DCF!$C$28-DCF!$C$29+DCF!$C$30))/DCF!$C$32)+(1-Assumptions!$C$11)*((SUMPRODUCT(DCF!$E$11:$I$11,1/(1+K$33)^DCF!$E$7:$I$7)+Forecast!$L$13*Assumptions!$E$75/(1+K$33)^DCF!$I$6+(DCF!$C$28-DCF!$C$29+DCF!$C$30))/DCF!$C$32)</f>
        <v/>
      </c>
    </row>
  </sheetData>
  <conditionalFormatting sqref="C7:K15">
    <cfRule type="colorScale" priority="1">
      <colorScale>
        <cfvo type="min"/>
        <cfvo type="percentile" val="50"/>
        <cfvo type="max"/>
        <color rgb="00F8696B"/>
        <color rgb="00FFFFFF"/>
        <color rgb="0063BE7B"/>
      </colorScale>
    </cfRule>
    <cfRule type="cellIs" priority="2" operator="greaterThanOrEqual" dxfId="1">
      <formula>Assumptions!$C$14</formula>
    </cfRule>
  </conditionalFormatting>
  <conditionalFormatting sqref="C20:K28">
    <cfRule type="colorScale" priority="3">
      <colorScale>
        <cfvo type="min"/>
        <cfvo type="percentile" val="50"/>
        <cfvo type="max"/>
        <color rgb="00F8696B"/>
        <color rgb="00FFFFFF"/>
        <color rgb="0063BE7B"/>
      </colorScale>
    </cfRule>
    <cfRule type="cellIs" priority="4" operator="greaterThanOrEqual" dxfId="1">
      <formula>Assumptions!$C$14</formula>
    </cfRule>
  </conditionalFormatting>
  <conditionalFormatting sqref="C34:K42">
    <cfRule type="colorScale" priority="5">
      <colorScale>
        <cfvo type="min"/>
        <cfvo type="percentile" val="50"/>
        <cfvo type="max"/>
        <color rgb="00F8696B"/>
        <color rgb="00FFFFFF"/>
        <color rgb="0063BE7B"/>
      </colorScale>
    </cfRule>
    <cfRule type="cellIs" priority="6" operator="greaterThanOrEqual" dxfId="1">
      <formula>Assumptions!$C$14</formula>
    </cfRule>
  </conditionalFormatting>
  <pageMargins left="0.75" right="0.75" top="1" bottom="1" header="0.5" footer="0.5"/>
  <pageSetup orientation="landscape" fitToWidth="1"/>
</worksheet>
</file>

<file path=xl/worksheets/sheet8.xml><?xml version="1.0" encoding="utf-8"?>
<worksheet xmlns="http://schemas.openxmlformats.org/spreadsheetml/2006/main">
  <sheetPr>
    <tabColor rgb="002B4BFF"/>
    <outlinePr summaryBelow="1" summaryRight="1"/>
    <pageSetUpPr fitToPage="1"/>
  </sheetPr>
  <dimension ref="B1:K9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4" customWidth="1" min="10" max="10"/>
    <col width="90" customWidth="1" min="11" max="11"/>
  </cols>
  <sheetData>
    <row r="1">
      <c r="B1" s="12" t="inlineStr">
        <is>
          <t>Scenario Analysis</t>
        </is>
      </c>
    </row>
    <row r="2">
      <c r="B2" s="13" t="inlineStr">
        <is>
          <t>Each case is a self-contained 5-year build off its own Assumptions row, so Bear, Base and Bull compute side by side regardless of the selector.</t>
        </is>
      </c>
    </row>
    <row r="4">
      <c r="B4" s="24" t="inlineStr">
        <is>
          <t>Summary</t>
        </is>
      </c>
      <c r="C4" s="25" t="inlineStr">
        <is>
          <t>Bear</t>
        </is>
      </c>
      <c r="D4" s="25" t="inlineStr">
        <is>
          <t>Base</t>
        </is>
      </c>
      <c r="E4" s="25" t="inlineStr">
        <is>
          <t>Bull</t>
        </is>
      </c>
    </row>
    <row r="5">
      <c r="B5" s="10" t="inlineStr">
        <is>
          <t>Revenue CAGR FY25A-FY30E</t>
        </is>
      </c>
      <c r="C5" s="26">
        <f>(I28/Historical!$H$6)^(1/5)-1</f>
        <v/>
      </c>
      <c r="D5" s="26">
        <f>(I50/Historical!$H$6)^(1/5)-1</f>
        <v/>
      </c>
      <c r="E5" s="26">
        <f>(I72/Historical!$H$6)^(1/5)-1</f>
        <v/>
      </c>
    </row>
    <row r="6">
      <c r="B6" s="10" t="inlineStr">
        <is>
          <t>Average EBITDA margin FY26-30</t>
        </is>
      </c>
      <c r="C6" s="26">
        <f>AVERAGE(Assumptions!$E$42:$I$42)</f>
        <v/>
      </c>
      <c r="D6" s="26">
        <f>AVERAGE(Assumptions!$E$43:$I$43)</f>
        <v/>
      </c>
      <c r="E6" s="26">
        <f>AVERAGE(Assumptions!$E$44:$I$44)</f>
        <v/>
      </c>
    </row>
    <row r="7">
      <c r="B7" s="10" t="inlineStr">
        <is>
          <t>Average CapEx % revenue</t>
        </is>
      </c>
      <c r="C7" s="26">
        <f>AVERAGE(Assumptions!$E$52:$I$52)</f>
        <v/>
      </c>
      <c r="D7" s="26">
        <f>AVERAGE(Assumptions!$E$53:$I$53)</f>
        <v/>
      </c>
      <c r="E7" s="26">
        <f>AVERAGE(Assumptions!$E$54:$I$54)</f>
        <v/>
      </c>
    </row>
    <row r="8">
      <c r="B8" s="10" t="inlineStr">
        <is>
          <t>WACC</t>
        </is>
      </c>
      <c r="C8" s="48">
        <f>C41</f>
        <v/>
      </c>
      <c r="D8" s="48">
        <f>C63</f>
        <v/>
      </c>
      <c r="E8" s="48">
        <f>C85</f>
        <v/>
      </c>
    </row>
    <row r="9">
      <c r="B9" s="10" t="inlineStr">
        <is>
          <t>Terminal growth</t>
        </is>
      </c>
      <c r="C9" s="48">
        <f>C42</f>
        <v/>
      </c>
      <c r="D9" s="48">
        <f>C64</f>
        <v/>
      </c>
      <c r="E9" s="48">
        <f>C86</f>
        <v/>
      </c>
    </row>
    <row r="10">
      <c r="B10" s="10" t="inlineStr">
        <is>
          <t>Exit EV/EBITDA</t>
        </is>
      </c>
      <c r="C10" s="60">
        <f>C43</f>
        <v/>
      </c>
      <c r="D10" s="60">
        <f>C65</f>
        <v/>
      </c>
      <c r="E10" s="60">
        <f>C87</f>
        <v/>
      </c>
    </row>
    <row r="11">
      <c r="B11" s="10" t="inlineStr">
        <is>
          <t>Enterprise value (Gordon)</t>
        </is>
      </c>
      <c r="C11" s="36">
        <f>C44+C45</f>
        <v/>
      </c>
      <c r="D11" s="36">
        <f>C66+C67</f>
        <v/>
      </c>
      <c r="E11" s="36">
        <f>C88+C89</f>
        <v/>
      </c>
    </row>
    <row r="12">
      <c r="B12" s="10" t="inlineStr">
        <is>
          <t>Enterprise value (Exit)</t>
        </is>
      </c>
      <c r="C12" s="36">
        <f>C44+C46</f>
        <v/>
      </c>
      <c r="D12" s="36">
        <f>C66+C68</f>
        <v/>
      </c>
      <c r="E12" s="36">
        <f>C88+C90</f>
        <v/>
      </c>
    </row>
    <row r="13">
      <c r="B13" s="10" t="inlineStr">
        <is>
          <t>Enterprise value (blended)</t>
        </is>
      </c>
      <c r="C13" s="36">
        <f>Assumptions!$C$11*C11+(1-Assumptions!$C$11)*C12</f>
        <v/>
      </c>
      <c r="D13" s="36">
        <f>Assumptions!$C$11*D11+(1-Assumptions!$C$11)*D12</f>
        <v/>
      </c>
      <c r="E13" s="36">
        <f>Assumptions!$C$11*E11+(1-Assumptions!$C$11)*E12</f>
        <v/>
      </c>
    </row>
    <row r="14">
      <c r="B14" s="10" t="inlineStr">
        <is>
          <t>Equity value (blended)</t>
        </is>
      </c>
      <c r="C14" s="36">
        <f>C13+(DCF!$C$28-DCF!$C$29+DCF!$C$30)</f>
        <v/>
      </c>
      <c r="D14" s="36">
        <f>D13+(DCF!$C$28-DCF!$C$29+DCF!$C$30)</f>
        <v/>
      </c>
      <c r="E14" s="36">
        <f>E13+(DCF!$C$28-DCF!$C$29+DCF!$C$30)</f>
        <v/>
      </c>
    </row>
    <row r="15">
      <c r="B15" s="3" t="inlineStr">
        <is>
          <t>Implied price, Gordon (EUR)</t>
        </is>
      </c>
      <c r="C15" s="67">
        <f>(C11+(DCF!$C$28-DCF!$C$29+DCF!$C$30))/DCF!$C$32</f>
        <v/>
      </c>
      <c r="D15" s="67">
        <f>(D11+(DCF!$C$28-DCF!$C$29+DCF!$C$30))/DCF!$C$32</f>
        <v/>
      </c>
      <c r="E15" s="67">
        <f>(E11+(DCF!$C$28-DCF!$C$29+DCF!$C$30))/DCF!$C$32</f>
        <v/>
      </c>
    </row>
    <row r="16">
      <c r="B16" s="3" t="inlineStr">
        <is>
          <t>Implied price, Exit (EUR)</t>
        </is>
      </c>
      <c r="C16" s="67">
        <f>(C12+(DCF!$C$28-DCF!$C$29+DCF!$C$30))/DCF!$C$32</f>
        <v/>
      </c>
      <c r="D16" s="67">
        <f>(D12+(DCF!$C$28-DCF!$C$29+DCF!$C$30))/DCF!$C$32</f>
        <v/>
      </c>
      <c r="E16" s="67">
        <f>(E12+(DCF!$C$28-DCF!$C$29+DCF!$C$30))/DCF!$C$32</f>
        <v/>
      </c>
    </row>
    <row r="17">
      <c r="B17" s="3" t="inlineStr">
        <is>
          <t>Implied price, blended (EUR)</t>
        </is>
      </c>
      <c r="C17" s="68">
        <f>C14/DCF!$C$32</f>
        <v/>
      </c>
      <c r="D17" s="68">
        <f>D14/DCF!$C$32</f>
        <v/>
      </c>
      <c r="E17" s="68">
        <f>E14/DCF!$C$32</f>
        <v/>
      </c>
    </row>
    <row r="18">
      <c r="B18" s="3" t="inlineStr">
        <is>
          <t>Upside / (downside), blended</t>
        </is>
      </c>
      <c r="C18" s="38">
        <f>C17/Assumptions!$C$14-1</f>
        <v/>
      </c>
      <c r="D18" s="38">
        <f>D17/Assumptions!$C$14-1</f>
        <v/>
      </c>
      <c r="E18" s="38">
        <f>E17/Assumptions!$C$14-1</f>
        <v/>
      </c>
    </row>
    <row r="19">
      <c r="B19" s="10" t="inlineStr">
        <is>
          <t>Current share price (EUR)</t>
        </is>
      </c>
      <c r="C19" s="52">
        <f>Assumptions!$C$14</f>
        <v/>
      </c>
    </row>
    <row r="21">
      <c r="B21" s="14" t="inlineStr">
        <is>
          <t>What drives each case</t>
        </is>
      </c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</row>
    <row r="22">
      <c r="B22" s="3" t="inlineStr">
        <is>
          <t>Bear</t>
        </is>
      </c>
      <c r="C22" s="11" t="inlineStr">
        <is>
          <t>AI capex digestion in 2027-28 coincides with tighter China export controls (DUV immersion and servicing). Customers push out EUV orders, the down-payment float shrinks and margins compress as fixed R&amp;D is held.</t>
        </is>
      </c>
    </row>
    <row r="23">
      <c r="B23" s="3" t="inlineStr">
        <is>
          <t>Base</t>
        </is>
      </c>
      <c r="C23" s="11" t="inlineStr">
        <is>
          <t>2026 guidance is delivered, the backlog converts, and EUV/High-NA adoption in logic and DRAM grows revenue to about EUR 63bn by 2030 with margins at the 2030 target band.</t>
        </is>
      </c>
    </row>
    <row r="24">
      <c r="B24" s="3" t="inlineStr">
        <is>
          <t>Bull</t>
        </is>
      </c>
      <c r="C24" s="11" t="inlineStr">
        <is>
          <t>A sustained AI-driven leading-edge build-out plus faster High-NA adoption push revenue beyond the 2030 range, with gross margin at 60% and services scaling on the installed base.</t>
        </is>
      </c>
    </row>
    <row r="26">
      <c r="B26" s="14" t="inlineStr">
        <is>
          <t>Bear case build</t>
        </is>
      </c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</row>
    <row r="27">
      <c r="B27" s="24" t="inlineStr">
        <is>
          <t>EUR m</t>
        </is>
      </c>
      <c r="C27" s="25" t="n"/>
      <c r="D27" s="25" t="n"/>
      <c r="E27" s="25" t="inlineStr">
        <is>
          <t>FY26E</t>
        </is>
      </c>
      <c r="F27" s="25" t="inlineStr">
        <is>
          <t>FY27E</t>
        </is>
      </c>
      <c r="G27" s="25" t="inlineStr">
        <is>
          <t>FY28E</t>
        </is>
      </c>
      <c r="H27" s="25" t="inlineStr">
        <is>
          <t>FY29E</t>
        </is>
      </c>
      <c r="I27" s="25" t="inlineStr">
        <is>
          <t>FY30E</t>
        </is>
      </c>
    </row>
    <row r="28">
      <c r="B28" s="3" t="inlineStr">
        <is>
          <t>Revenue</t>
        </is>
      </c>
      <c r="E28" s="36">
        <f>Historical!$H$6*(1+Assumptions!$E$32)</f>
        <v/>
      </c>
      <c r="F28" s="36">
        <f>E28*(1+Assumptions!$F$32)</f>
        <v/>
      </c>
      <c r="G28" s="36">
        <f>F28*(1+Assumptions!$G$32)</f>
        <v/>
      </c>
      <c r="H28" s="36">
        <f>G28*(1+Assumptions!$H$32)</f>
        <v/>
      </c>
      <c r="I28" s="36">
        <f>H28*(1+Assumptions!$I$32)</f>
        <v/>
      </c>
    </row>
    <row r="29">
      <c r="B29" s="10" t="inlineStr">
        <is>
          <t>EBITDA</t>
        </is>
      </c>
      <c r="E29" s="36">
        <f>E28*Assumptions!$E$42</f>
        <v/>
      </c>
      <c r="F29" s="36">
        <f>F28*Assumptions!$F$42</f>
        <v/>
      </c>
      <c r="G29" s="36">
        <f>G28*Assumptions!$G$42</f>
        <v/>
      </c>
      <c r="H29" s="36">
        <f>H28*Assumptions!$H$42</f>
        <v/>
      </c>
      <c r="I29" s="36">
        <f>I28*Assumptions!$I$42</f>
        <v/>
      </c>
    </row>
    <row r="30">
      <c r="B30" s="10" t="inlineStr">
        <is>
          <t>D&amp;A</t>
        </is>
      </c>
      <c r="E30" s="36">
        <f>E28*Assumptions!$E$47</f>
        <v/>
      </c>
      <c r="F30" s="36">
        <f>F28*Assumptions!$F$47</f>
        <v/>
      </c>
      <c r="G30" s="36">
        <f>G28*Assumptions!$G$47</f>
        <v/>
      </c>
      <c r="H30" s="36">
        <f>H28*Assumptions!$H$47</f>
        <v/>
      </c>
      <c r="I30" s="36">
        <f>I28*Assumptions!$I$47</f>
        <v/>
      </c>
    </row>
    <row r="31">
      <c r="B31" s="10" t="inlineStr">
        <is>
          <t>EBIT</t>
        </is>
      </c>
      <c r="E31" s="36">
        <f>E29-E30</f>
        <v/>
      </c>
      <c r="F31" s="36">
        <f>F29-F30</f>
        <v/>
      </c>
      <c r="G31" s="36">
        <f>G29-G30</f>
        <v/>
      </c>
      <c r="H31" s="36">
        <f>H29-H30</f>
        <v/>
      </c>
      <c r="I31" s="36">
        <f>I29-I30</f>
        <v/>
      </c>
    </row>
    <row r="32">
      <c r="B32" s="10" t="inlineStr">
        <is>
          <t>NOPAT</t>
        </is>
      </c>
      <c r="E32" s="36">
        <f>E31*(1-Assumptions!$E$62)</f>
        <v/>
      </c>
      <c r="F32" s="36">
        <f>F31*(1-Assumptions!$F$62)</f>
        <v/>
      </c>
      <c r="G32" s="36">
        <f>G31*(1-Assumptions!$G$62)</f>
        <v/>
      </c>
      <c r="H32" s="36">
        <f>H31*(1-Assumptions!$H$62)</f>
        <v/>
      </c>
      <c r="I32" s="36">
        <f>I31*(1-Assumptions!$I$62)</f>
        <v/>
      </c>
    </row>
    <row r="33">
      <c r="B33" s="10" t="inlineStr">
        <is>
          <t>CapEx</t>
        </is>
      </c>
      <c r="E33" s="36">
        <f>E28*Assumptions!$E$52</f>
        <v/>
      </c>
      <c r="F33" s="36">
        <f>F28*Assumptions!$F$52</f>
        <v/>
      </c>
      <c r="G33" s="36">
        <f>G28*Assumptions!$G$52</f>
        <v/>
      </c>
      <c r="H33" s="36">
        <f>H28*Assumptions!$H$52</f>
        <v/>
      </c>
      <c r="I33" s="36">
        <f>I28*Assumptions!$I$52</f>
        <v/>
      </c>
    </row>
    <row r="34">
      <c r="B34" s="10" t="inlineStr">
        <is>
          <t>NWC</t>
        </is>
      </c>
      <c r="E34" s="36">
        <f>E28*Assumptions!$E$57</f>
        <v/>
      </c>
      <c r="F34" s="36">
        <f>F28*Assumptions!$F$57</f>
        <v/>
      </c>
      <c r="G34" s="36">
        <f>G28*Assumptions!$G$57</f>
        <v/>
      </c>
      <c r="H34" s="36">
        <f>H28*Assumptions!$H$57</f>
        <v/>
      </c>
      <c r="I34" s="36">
        <f>I28*Assumptions!$I$57</f>
        <v/>
      </c>
    </row>
    <row r="35">
      <c r="B35" s="10" t="inlineStr">
        <is>
          <t>Change in NWC</t>
        </is>
      </c>
      <c r="E35" s="36">
        <f>E34-Historical!$H$42</f>
        <v/>
      </c>
      <c r="F35" s="36">
        <f>F34-E34</f>
        <v/>
      </c>
      <c r="G35" s="36">
        <f>G34-F34</f>
        <v/>
      </c>
      <c r="H35" s="36">
        <f>H34-G34</f>
        <v/>
      </c>
      <c r="I35" s="36">
        <f>I34-H34</f>
        <v/>
      </c>
    </row>
    <row r="36">
      <c r="B36" s="3" t="inlineStr">
        <is>
          <t>Unlevered FCF</t>
        </is>
      </c>
      <c r="E36" s="39">
        <f>E32+E30-E33-E35</f>
        <v/>
      </c>
      <c r="F36" s="39">
        <f>F32+F30-F33-F35</f>
        <v/>
      </c>
      <c r="G36" s="39">
        <f>G32+G30-G33-G35</f>
        <v/>
      </c>
      <c r="H36" s="39">
        <f>H32+H30-H33-H35</f>
        <v/>
      </c>
      <c r="I36" s="39">
        <f>I32+I30-I33-I35</f>
        <v/>
      </c>
    </row>
    <row r="37">
      <c r="B37" s="10" t="inlineStr">
        <is>
          <t>Cash flow to discount (FY26 net of H1 actual)</t>
        </is>
      </c>
      <c r="E37" s="36">
        <f>E36-Assumptions!$C$19</f>
        <v/>
      </c>
      <c r="F37" s="36">
        <f>F36</f>
        <v/>
      </c>
      <c r="G37" s="36">
        <f>G36</f>
        <v/>
      </c>
      <c r="H37" s="36">
        <f>H36</f>
        <v/>
      </c>
      <c r="I37" s="36">
        <f>I36</f>
        <v/>
      </c>
    </row>
    <row r="38">
      <c r="B38" s="10" t="inlineStr">
        <is>
          <t>Discount factor</t>
        </is>
      </c>
      <c r="E38" s="57">
        <f>1/(1+$C$41)^DCF!E$7</f>
        <v/>
      </c>
      <c r="F38" s="57">
        <f>1/(1+$C$41)^DCF!F$7</f>
        <v/>
      </c>
      <c r="G38" s="57">
        <f>1/(1+$C$41)^DCF!G$7</f>
        <v/>
      </c>
      <c r="H38" s="57">
        <f>1/(1+$C$41)^DCF!H$7</f>
        <v/>
      </c>
      <c r="I38" s="57">
        <f>1/(1+$C$41)^DCF!I$7</f>
        <v/>
      </c>
    </row>
    <row r="39">
      <c r="B39" s="3" t="inlineStr">
        <is>
          <t>PV of cash flow</t>
        </is>
      </c>
      <c r="E39" s="39">
        <f>E37*E38</f>
        <v/>
      </c>
      <c r="F39" s="39">
        <f>F37*F38</f>
        <v/>
      </c>
      <c r="G39" s="39">
        <f>G37*G38</f>
        <v/>
      </c>
      <c r="H39" s="39">
        <f>H37*H38</f>
        <v/>
      </c>
      <c r="I39" s="39">
        <f>I37*I38</f>
        <v/>
      </c>
    </row>
    <row r="41">
      <c r="B41" s="10" t="inlineStr">
        <is>
          <t>WACC</t>
        </is>
      </c>
      <c r="C41" s="48">
        <f>WACC!$C$33+Assumptions!$E$77</f>
        <v/>
      </c>
    </row>
    <row r="42">
      <c r="B42" s="10" t="inlineStr">
        <is>
          <t>Terminal growth</t>
        </is>
      </c>
      <c r="C42" s="46">
        <f>Assumptions!$E$67</f>
        <v/>
      </c>
    </row>
    <row r="43">
      <c r="B43" s="10" t="inlineStr">
        <is>
          <t>Exit multiple</t>
        </is>
      </c>
      <c r="C43" s="58">
        <f>Assumptions!$E$72</f>
        <v/>
      </c>
    </row>
    <row r="44">
      <c r="B44" s="10" t="inlineStr">
        <is>
          <t>Sum PV of cash flows</t>
        </is>
      </c>
      <c r="C44" s="36">
        <f>SUM(E39:I39)</f>
        <v/>
      </c>
    </row>
    <row r="45">
      <c r="B45" s="10" t="inlineStr">
        <is>
          <t>PV terminal value (Gordon)</t>
        </is>
      </c>
      <c r="C45" s="36">
        <f>I36*(1+C42)/(C41-C42)/(1+C41)^DCF!$I$6</f>
        <v/>
      </c>
    </row>
    <row r="46">
      <c r="B46" s="10" t="inlineStr">
        <is>
          <t>PV terminal value (Exit)</t>
        </is>
      </c>
      <c r="C46" s="36">
        <f>I29*C43/(1+C41)^DCF!$I$6</f>
        <v/>
      </c>
    </row>
    <row r="48">
      <c r="B48" s="14" t="inlineStr">
        <is>
          <t>Base case build</t>
        </is>
      </c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</row>
    <row r="49">
      <c r="B49" s="24" t="inlineStr">
        <is>
          <t>EUR m</t>
        </is>
      </c>
      <c r="C49" s="25" t="n"/>
      <c r="D49" s="25" t="n"/>
      <c r="E49" s="25" t="inlineStr">
        <is>
          <t>FY26E</t>
        </is>
      </c>
      <c r="F49" s="25" t="inlineStr">
        <is>
          <t>FY27E</t>
        </is>
      </c>
      <c r="G49" s="25" t="inlineStr">
        <is>
          <t>FY28E</t>
        </is>
      </c>
      <c r="H49" s="25" t="inlineStr">
        <is>
          <t>FY29E</t>
        </is>
      </c>
      <c r="I49" s="25" t="inlineStr">
        <is>
          <t>FY30E</t>
        </is>
      </c>
    </row>
    <row r="50">
      <c r="B50" s="3" t="inlineStr">
        <is>
          <t>Revenue</t>
        </is>
      </c>
      <c r="E50" s="36">
        <f>Historical!$H$6*(1+Assumptions!$E$33)</f>
        <v/>
      </c>
      <c r="F50" s="36">
        <f>E50*(1+Assumptions!$F$33)</f>
        <v/>
      </c>
      <c r="G50" s="36">
        <f>F50*(1+Assumptions!$G$33)</f>
        <v/>
      </c>
      <c r="H50" s="36">
        <f>G50*(1+Assumptions!$H$33)</f>
        <v/>
      </c>
      <c r="I50" s="36">
        <f>H50*(1+Assumptions!$I$33)</f>
        <v/>
      </c>
    </row>
    <row r="51">
      <c r="B51" s="10" t="inlineStr">
        <is>
          <t>EBITDA</t>
        </is>
      </c>
      <c r="E51" s="36">
        <f>E50*Assumptions!$E$43</f>
        <v/>
      </c>
      <c r="F51" s="36">
        <f>F50*Assumptions!$F$43</f>
        <v/>
      </c>
      <c r="G51" s="36">
        <f>G50*Assumptions!$G$43</f>
        <v/>
      </c>
      <c r="H51" s="36">
        <f>H50*Assumptions!$H$43</f>
        <v/>
      </c>
      <c r="I51" s="36">
        <f>I50*Assumptions!$I$43</f>
        <v/>
      </c>
    </row>
    <row r="52">
      <c r="B52" s="10" t="inlineStr">
        <is>
          <t>D&amp;A</t>
        </is>
      </c>
      <c r="E52" s="36">
        <f>E50*Assumptions!$E$48</f>
        <v/>
      </c>
      <c r="F52" s="36">
        <f>F50*Assumptions!$F$48</f>
        <v/>
      </c>
      <c r="G52" s="36">
        <f>G50*Assumptions!$G$48</f>
        <v/>
      </c>
      <c r="H52" s="36">
        <f>H50*Assumptions!$H$48</f>
        <v/>
      </c>
      <c r="I52" s="36">
        <f>I50*Assumptions!$I$48</f>
        <v/>
      </c>
    </row>
    <row r="53">
      <c r="B53" s="10" t="inlineStr">
        <is>
          <t>EBIT</t>
        </is>
      </c>
      <c r="E53" s="36">
        <f>E51-E52</f>
        <v/>
      </c>
      <c r="F53" s="36">
        <f>F51-F52</f>
        <v/>
      </c>
      <c r="G53" s="36">
        <f>G51-G52</f>
        <v/>
      </c>
      <c r="H53" s="36">
        <f>H51-H52</f>
        <v/>
      </c>
      <c r="I53" s="36">
        <f>I51-I52</f>
        <v/>
      </c>
    </row>
    <row r="54">
      <c r="B54" s="10" t="inlineStr">
        <is>
          <t>NOPAT</t>
        </is>
      </c>
      <c r="E54" s="36">
        <f>E53*(1-Assumptions!$E$63)</f>
        <v/>
      </c>
      <c r="F54" s="36">
        <f>F53*(1-Assumptions!$F$63)</f>
        <v/>
      </c>
      <c r="G54" s="36">
        <f>G53*(1-Assumptions!$G$63)</f>
        <v/>
      </c>
      <c r="H54" s="36">
        <f>H53*(1-Assumptions!$H$63)</f>
        <v/>
      </c>
      <c r="I54" s="36">
        <f>I53*(1-Assumptions!$I$63)</f>
        <v/>
      </c>
    </row>
    <row r="55">
      <c r="B55" s="10" t="inlineStr">
        <is>
          <t>CapEx</t>
        </is>
      </c>
      <c r="E55" s="36">
        <f>E50*Assumptions!$E$53</f>
        <v/>
      </c>
      <c r="F55" s="36">
        <f>F50*Assumptions!$F$53</f>
        <v/>
      </c>
      <c r="G55" s="36">
        <f>G50*Assumptions!$G$53</f>
        <v/>
      </c>
      <c r="H55" s="36">
        <f>H50*Assumptions!$H$53</f>
        <v/>
      </c>
      <c r="I55" s="36">
        <f>I50*Assumptions!$I$53</f>
        <v/>
      </c>
    </row>
    <row r="56">
      <c r="B56" s="10" t="inlineStr">
        <is>
          <t>NWC</t>
        </is>
      </c>
      <c r="E56" s="36">
        <f>E50*Assumptions!$E$58</f>
        <v/>
      </c>
      <c r="F56" s="36">
        <f>F50*Assumptions!$F$58</f>
        <v/>
      </c>
      <c r="G56" s="36">
        <f>G50*Assumptions!$G$58</f>
        <v/>
      </c>
      <c r="H56" s="36">
        <f>H50*Assumptions!$H$58</f>
        <v/>
      </c>
      <c r="I56" s="36">
        <f>I50*Assumptions!$I$58</f>
        <v/>
      </c>
    </row>
    <row r="57">
      <c r="B57" s="10" t="inlineStr">
        <is>
          <t>Change in NWC</t>
        </is>
      </c>
      <c r="E57" s="36">
        <f>E56-Historical!$H$42</f>
        <v/>
      </c>
      <c r="F57" s="36">
        <f>F56-E56</f>
        <v/>
      </c>
      <c r="G57" s="36">
        <f>G56-F56</f>
        <v/>
      </c>
      <c r="H57" s="36">
        <f>H56-G56</f>
        <v/>
      </c>
      <c r="I57" s="36">
        <f>I56-H56</f>
        <v/>
      </c>
    </row>
    <row r="58">
      <c r="B58" s="3" t="inlineStr">
        <is>
          <t>Unlevered FCF</t>
        </is>
      </c>
      <c r="E58" s="39">
        <f>E54+E52-E55-E57</f>
        <v/>
      </c>
      <c r="F58" s="39">
        <f>F54+F52-F55-F57</f>
        <v/>
      </c>
      <c r="G58" s="39">
        <f>G54+G52-G55-G57</f>
        <v/>
      </c>
      <c r="H58" s="39">
        <f>H54+H52-H55-H57</f>
        <v/>
      </c>
      <c r="I58" s="39">
        <f>I54+I52-I55-I57</f>
        <v/>
      </c>
    </row>
    <row r="59">
      <c r="B59" s="10" t="inlineStr">
        <is>
          <t>Cash flow to discount (FY26 net of H1 actual)</t>
        </is>
      </c>
      <c r="E59" s="36">
        <f>E58-Assumptions!$C$19</f>
        <v/>
      </c>
      <c r="F59" s="36">
        <f>F58</f>
        <v/>
      </c>
      <c r="G59" s="36">
        <f>G58</f>
        <v/>
      </c>
      <c r="H59" s="36">
        <f>H58</f>
        <v/>
      </c>
      <c r="I59" s="36">
        <f>I58</f>
        <v/>
      </c>
    </row>
    <row r="60">
      <c r="B60" s="10" t="inlineStr">
        <is>
          <t>Discount factor</t>
        </is>
      </c>
      <c r="E60" s="57">
        <f>1/(1+$C$63)^DCF!E$7</f>
        <v/>
      </c>
      <c r="F60" s="57">
        <f>1/(1+$C$63)^DCF!F$7</f>
        <v/>
      </c>
      <c r="G60" s="57">
        <f>1/(1+$C$63)^DCF!G$7</f>
        <v/>
      </c>
      <c r="H60" s="57">
        <f>1/(1+$C$63)^DCF!H$7</f>
        <v/>
      </c>
      <c r="I60" s="57">
        <f>1/(1+$C$63)^DCF!I$7</f>
        <v/>
      </c>
    </row>
    <row r="61">
      <c r="B61" s="3" t="inlineStr">
        <is>
          <t>PV of cash flow</t>
        </is>
      </c>
      <c r="E61" s="39">
        <f>E59*E60</f>
        <v/>
      </c>
      <c r="F61" s="39">
        <f>F59*F60</f>
        <v/>
      </c>
      <c r="G61" s="39">
        <f>G59*G60</f>
        <v/>
      </c>
      <c r="H61" s="39">
        <f>H59*H60</f>
        <v/>
      </c>
      <c r="I61" s="39">
        <f>I59*I60</f>
        <v/>
      </c>
    </row>
    <row r="63">
      <c r="B63" s="10" t="inlineStr">
        <is>
          <t>WACC</t>
        </is>
      </c>
      <c r="C63" s="48">
        <f>WACC!$C$33+Assumptions!$E$78</f>
        <v/>
      </c>
    </row>
    <row r="64">
      <c r="B64" s="10" t="inlineStr">
        <is>
          <t>Terminal growth</t>
        </is>
      </c>
      <c r="C64" s="46">
        <f>Assumptions!$E$68</f>
        <v/>
      </c>
    </row>
    <row r="65">
      <c r="B65" s="10" t="inlineStr">
        <is>
          <t>Exit multiple</t>
        </is>
      </c>
      <c r="C65" s="58">
        <f>Assumptions!$E$73</f>
        <v/>
      </c>
    </row>
    <row r="66">
      <c r="B66" s="10" t="inlineStr">
        <is>
          <t>Sum PV of cash flows</t>
        </is>
      </c>
      <c r="C66" s="36">
        <f>SUM(E61:I61)</f>
        <v/>
      </c>
    </row>
    <row r="67">
      <c r="B67" s="10" t="inlineStr">
        <is>
          <t>PV terminal value (Gordon)</t>
        </is>
      </c>
      <c r="C67" s="36">
        <f>I58*(1+C64)/(C63-C64)/(1+C63)^DCF!$I$6</f>
        <v/>
      </c>
    </row>
    <row r="68">
      <c r="B68" s="10" t="inlineStr">
        <is>
          <t>PV terminal value (Exit)</t>
        </is>
      </c>
      <c r="C68" s="36">
        <f>I51*C65/(1+C63)^DCF!$I$6</f>
        <v/>
      </c>
    </row>
    <row r="70">
      <c r="B70" s="14" t="inlineStr">
        <is>
          <t>Bull case build</t>
        </is>
      </c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</row>
    <row r="71">
      <c r="B71" s="24" t="inlineStr">
        <is>
          <t>EUR m</t>
        </is>
      </c>
      <c r="C71" s="25" t="n"/>
      <c r="D71" s="25" t="n"/>
      <c r="E71" s="25" t="inlineStr">
        <is>
          <t>FY26E</t>
        </is>
      </c>
      <c r="F71" s="25" t="inlineStr">
        <is>
          <t>FY27E</t>
        </is>
      </c>
      <c r="G71" s="25" t="inlineStr">
        <is>
          <t>FY28E</t>
        </is>
      </c>
      <c r="H71" s="25" t="inlineStr">
        <is>
          <t>FY29E</t>
        </is>
      </c>
      <c r="I71" s="25" t="inlineStr">
        <is>
          <t>FY30E</t>
        </is>
      </c>
    </row>
    <row r="72">
      <c r="B72" s="3" t="inlineStr">
        <is>
          <t>Revenue</t>
        </is>
      </c>
      <c r="E72" s="36">
        <f>Historical!$H$6*(1+Assumptions!$E$34)</f>
        <v/>
      </c>
      <c r="F72" s="36">
        <f>E72*(1+Assumptions!$F$34)</f>
        <v/>
      </c>
      <c r="G72" s="36">
        <f>F72*(1+Assumptions!$G$34)</f>
        <v/>
      </c>
      <c r="H72" s="36">
        <f>G72*(1+Assumptions!$H$34)</f>
        <v/>
      </c>
      <c r="I72" s="36">
        <f>H72*(1+Assumptions!$I$34)</f>
        <v/>
      </c>
    </row>
    <row r="73">
      <c r="B73" s="10" t="inlineStr">
        <is>
          <t>EBITDA</t>
        </is>
      </c>
      <c r="E73" s="36">
        <f>E72*Assumptions!$E$44</f>
        <v/>
      </c>
      <c r="F73" s="36">
        <f>F72*Assumptions!$F$44</f>
        <v/>
      </c>
      <c r="G73" s="36">
        <f>G72*Assumptions!$G$44</f>
        <v/>
      </c>
      <c r="H73" s="36">
        <f>H72*Assumptions!$H$44</f>
        <v/>
      </c>
      <c r="I73" s="36">
        <f>I72*Assumptions!$I$44</f>
        <v/>
      </c>
    </row>
    <row r="74">
      <c r="B74" s="10" t="inlineStr">
        <is>
          <t>D&amp;A</t>
        </is>
      </c>
      <c r="E74" s="36">
        <f>E72*Assumptions!$E$49</f>
        <v/>
      </c>
      <c r="F74" s="36">
        <f>F72*Assumptions!$F$49</f>
        <v/>
      </c>
      <c r="G74" s="36">
        <f>G72*Assumptions!$G$49</f>
        <v/>
      </c>
      <c r="H74" s="36">
        <f>H72*Assumptions!$H$49</f>
        <v/>
      </c>
      <c r="I74" s="36">
        <f>I72*Assumptions!$I$49</f>
        <v/>
      </c>
    </row>
    <row r="75">
      <c r="B75" s="10" t="inlineStr">
        <is>
          <t>EBIT</t>
        </is>
      </c>
      <c r="E75" s="36">
        <f>E73-E74</f>
        <v/>
      </c>
      <c r="F75" s="36">
        <f>F73-F74</f>
        <v/>
      </c>
      <c r="G75" s="36">
        <f>G73-G74</f>
        <v/>
      </c>
      <c r="H75" s="36">
        <f>H73-H74</f>
        <v/>
      </c>
      <c r="I75" s="36">
        <f>I73-I74</f>
        <v/>
      </c>
    </row>
    <row r="76">
      <c r="B76" s="10" t="inlineStr">
        <is>
          <t>NOPAT</t>
        </is>
      </c>
      <c r="E76" s="36">
        <f>E75*(1-Assumptions!$E$64)</f>
        <v/>
      </c>
      <c r="F76" s="36">
        <f>F75*(1-Assumptions!$F$64)</f>
        <v/>
      </c>
      <c r="G76" s="36">
        <f>G75*(1-Assumptions!$G$64)</f>
        <v/>
      </c>
      <c r="H76" s="36">
        <f>H75*(1-Assumptions!$H$64)</f>
        <v/>
      </c>
      <c r="I76" s="36">
        <f>I75*(1-Assumptions!$I$64)</f>
        <v/>
      </c>
    </row>
    <row r="77">
      <c r="B77" s="10" t="inlineStr">
        <is>
          <t>CapEx</t>
        </is>
      </c>
      <c r="E77" s="36">
        <f>E72*Assumptions!$E$54</f>
        <v/>
      </c>
      <c r="F77" s="36">
        <f>F72*Assumptions!$F$54</f>
        <v/>
      </c>
      <c r="G77" s="36">
        <f>G72*Assumptions!$G$54</f>
        <v/>
      </c>
      <c r="H77" s="36">
        <f>H72*Assumptions!$H$54</f>
        <v/>
      </c>
      <c r="I77" s="36">
        <f>I72*Assumptions!$I$54</f>
        <v/>
      </c>
    </row>
    <row r="78">
      <c r="B78" s="10" t="inlineStr">
        <is>
          <t>NWC</t>
        </is>
      </c>
      <c r="E78" s="36">
        <f>E72*Assumptions!$E$59</f>
        <v/>
      </c>
      <c r="F78" s="36">
        <f>F72*Assumptions!$F$59</f>
        <v/>
      </c>
      <c r="G78" s="36">
        <f>G72*Assumptions!$G$59</f>
        <v/>
      </c>
      <c r="H78" s="36">
        <f>H72*Assumptions!$H$59</f>
        <v/>
      </c>
      <c r="I78" s="36">
        <f>I72*Assumptions!$I$59</f>
        <v/>
      </c>
    </row>
    <row r="79">
      <c r="B79" s="10" t="inlineStr">
        <is>
          <t>Change in NWC</t>
        </is>
      </c>
      <c r="E79" s="36">
        <f>E78-Historical!$H$42</f>
        <v/>
      </c>
      <c r="F79" s="36">
        <f>F78-E78</f>
        <v/>
      </c>
      <c r="G79" s="36">
        <f>G78-F78</f>
        <v/>
      </c>
      <c r="H79" s="36">
        <f>H78-G78</f>
        <v/>
      </c>
      <c r="I79" s="36">
        <f>I78-H78</f>
        <v/>
      </c>
    </row>
    <row r="80">
      <c r="B80" s="3" t="inlineStr">
        <is>
          <t>Unlevered FCF</t>
        </is>
      </c>
      <c r="E80" s="39">
        <f>E76+E74-E77-E79</f>
        <v/>
      </c>
      <c r="F80" s="39">
        <f>F76+F74-F77-F79</f>
        <v/>
      </c>
      <c r="G80" s="39">
        <f>G76+G74-G77-G79</f>
        <v/>
      </c>
      <c r="H80" s="39">
        <f>H76+H74-H77-H79</f>
        <v/>
      </c>
      <c r="I80" s="39">
        <f>I76+I74-I77-I79</f>
        <v/>
      </c>
    </row>
    <row r="81">
      <c r="B81" s="10" t="inlineStr">
        <is>
          <t>Cash flow to discount (FY26 net of H1 actual)</t>
        </is>
      </c>
      <c r="E81" s="36">
        <f>E80-Assumptions!$C$19</f>
        <v/>
      </c>
      <c r="F81" s="36">
        <f>F80</f>
        <v/>
      </c>
      <c r="G81" s="36">
        <f>G80</f>
        <v/>
      </c>
      <c r="H81" s="36">
        <f>H80</f>
        <v/>
      </c>
      <c r="I81" s="36">
        <f>I80</f>
        <v/>
      </c>
    </row>
    <row r="82">
      <c r="B82" s="10" t="inlineStr">
        <is>
          <t>Discount factor</t>
        </is>
      </c>
      <c r="E82" s="57">
        <f>1/(1+$C$85)^DCF!E$7</f>
        <v/>
      </c>
      <c r="F82" s="57">
        <f>1/(1+$C$85)^DCF!F$7</f>
        <v/>
      </c>
      <c r="G82" s="57">
        <f>1/(1+$C$85)^DCF!G$7</f>
        <v/>
      </c>
      <c r="H82" s="57">
        <f>1/(1+$C$85)^DCF!H$7</f>
        <v/>
      </c>
      <c r="I82" s="57">
        <f>1/(1+$C$85)^DCF!I$7</f>
        <v/>
      </c>
    </row>
    <row r="83">
      <c r="B83" s="3" t="inlineStr">
        <is>
          <t>PV of cash flow</t>
        </is>
      </c>
      <c r="E83" s="39">
        <f>E81*E82</f>
        <v/>
      </c>
      <c r="F83" s="39">
        <f>F81*F82</f>
        <v/>
      </c>
      <c r="G83" s="39">
        <f>G81*G82</f>
        <v/>
      </c>
      <c r="H83" s="39">
        <f>H81*H82</f>
        <v/>
      </c>
      <c r="I83" s="39">
        <f>I81*I82</f>
        <v/>
      </c>
    </row>
    <row r="85">
      <c r="B85" s="10" t="inlineStr">
        <is>
          <t>WACC</t>
        </is>
      </c>
      <c r="C85" s="48">
        <f>WACC!$C$33+Assumptions!$E$79</f>
        <v/>
      </c>
    </row>
    <row r="86">
      <c r="B86" s="10" t="inlineStr">
        <is>
          <t>Terminal growth</t>
        </is>
      </c>
      <c r="C86" s="46">
        <f>Assumptions!$E$69</f>
        <v/>
      </c>
    </row>
    <row r="87">
      <c r="B87" s="10" t="inlineStr">
        <is>
          <t>Exit multiple</t>
        </is>
      </c>
      <c r="C87" s="58">
        <f>Assumptions!$E$74</f>
        <v/>
      </c>
    </row>
    <row r="88">
      <c r="B88" s="10" t="inlineStr">
        <is>
          <t>Sum PV of cash flows</t>
        </is>
      </c>
      <c r="C88" s="36">
        <f>SUM(E83:I83)</f>
        <v/>
      </c>
    </row>
    <row r="89">
      <c r="B89" s="10" t="inlineStr">
        <is>
          <t>PV terminal value (Gordon)</t>
        </is>
      </c>
      <c r="C89" s="36">
        <f>I80*(1+C86)/(C85-C86)/(1+C85)^DCF!$I$6</f>
        <v/>
      </c>
    </row>
    <row r="90">
      <c r="B90" s="10" t="inlineStr">
        <is>
          <t>PV terminal value (Exit)</t>
        </is>
      </c>
      <c r="C90" s="36">
        <f>I73*C87/(1+C85)^DCF!$I$6</f>
        <v/>
      </c>
    </row>
  </sheetData>
  <conditionalFormatting sqref="C18:E18">
    <cfRule type="cellIs" priority="1" operator="lessThan" dxfId="2">
      <formula>0</formula>
    </cfRule>
    <cfRule type="cellIs" priority="2" operator="greaterThanOrEqual" dxfId="0">
      <formula>0</formula>
    </cfRule>
  </conditionalFormatting>
  <pageMargins left="0.75" right="0.75" top="1" bottom="1" header="0.5" footer="0.5"/>
  <pageSetup orientation="landscape" fitToWidth="1"/>
</worksheet>
</file>

<file path=xl/worksheets/sheet9.xml><?xml version="1.0" encoding="utf-8"?>
<worksheet xmlns="http://schemas.openxmlformats.org/spreadsheetml/2006/main">
  <sheetPr>
    <tabColor rgb="00007A33"/>
    <outlinePr summaryBelow="1" summaryRight="1"/>
    <pageSetUpPr fitToPage="1"/>
  </sheetPr>
  <dimension ref="B1:L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4" customWidth="1" min="13" max="13"/>
    <col width="14" customWidth="1" min="14" max="14"/>
    <col width="14" customWidth="1" min="15" max="15"/>
  </cols>
  <sheetData>
    <row r="1">
      <c r="B1" s="12" t="inlineStr">
        <is>
          <t>ASML Holding N.V. | Valuation Dashboard</t>
        </is>
      </c>
    </row>
    <row r="2">
      <c r="B2" s="13" t="inlineStr">
        <is>
          <t>Live summary of the model. Change inputs on Assumptions; everything here updates.</t>
        </is>
      </c>
    </row>
    <row r="4">
      <c r="B4" s="8" t="inlineStr">
        <is>
          <t>Valuation</t>
        </is>
      </c>
      <c r="E4" s="8" t="inlineStr">
        <is>
          <t>Model drivers</t>
        </is>
      </c>
    </row>
    <row r="5">
      <c r="B5" s="11" t="inlineStr">
        <is>
          <t>Scenario shown:</t>
        </is>
      </c>
      <c r="C5" s="3">
        <f>Assumptions!$C$9</f>
        <v/>
      </c>
    </row>
    <row r="6">
      <c r="B6" s="10" t="inlineStr">
        <is>
          <t>Current share price</t>
        </is>
      </c>
      <c r="C6" s="69">
        <f>Assumptions!$C$14</f>
        <v/>
      </c>
      <c r="E6" s="10" t="inlineStr">
        <is>
          <t>Enterprise value (blended, EUR m)</t>
        </is>
      </c>
      <c r="F6" s="70">
        <f>DCF!$E$26</f>
        <v/>
      </c>
    </row>
    <row r="7">
      <c r="B7" s="3" t="inlineStr">
        <is>
          <t>DCF price, blended (headline)</t>
        </is>
      </c>
      <c r="C7" s="71">
        <f>DCF!$E$33</f>
        <v/>
      </c>
      <c r="E7" s="10" t="inlineStr">
        <is>
          <t>Equity value (blended, EUR m)</t>
        </is>
      </c>
      <c r="F7" s="70">
        <f>DCF!$E$31</f>
        <v/>
      </c>
    </row>
    <row r="8">
      <c r="B8" s="10" t="inlineStr">
        <is>
          <t>DCF price, Gordon Growth</t>
        </is>
      </c>
      <c r="C8" s="69">
        <f>DCF!$C$33</f>
        <v/>
      </c>
      <c r="E8" s="10" t="inlineStr">
        <is>
          <t>WACC</t>
        </is>
      </c>
      <c r="F8" s="72">
        <f>WACC!$C$35</f>
        <v/>
      </c>
    </row>
    <row r="9">
      <c r="B9" s="10" t="inlineStr">
        <is>
          <t>DCF price, Exit Multiple</t>
        </is>
      </c>
      <c r="C9" s="69">
        <f>DCF!$D$33</f>
        <v/>
      </c>
      <c r="E9" s="10" t="inlineStr">
        <is>
          <t>Terminal growth rate</t>
        </is>
      </c>
      <c r="F9" s="72">
        <f>Assumptions!$E$70</f>
        <v/>
      </c>
    </row>
    <row r="10">
      <c r="B10" s="3" t="inlineStr">
        <is>
          <t>Potential upside / (downside)</t>
        </is>
      </c>
      <c r="C10" s="73">
        <f>DCF!$E$35</f>
        <v/>
      </c>
      <c r="E10" s="10" t="inlineStr">
        <is>
          <t>Exit EV/EBITDA</t>
        </is>
      </c>
      <c r="F10" s="74">
        <f>Assumptions!$E$75</f>
        <v/>
      </c>
    </row>
    <row r="11">
      <c r="B11" s="10" t="inlineStr">
        <is>
          <t>Bear case price (blended)</t>
        </is>
      </c>
      <c r="C11" s="69">
        <f>Scenarios!$C$17</f>
        <v/>
      </c>
      <c r="E11" s="10" t="inlineStr">
        <is>
          <t>5-yr revenue CAGR FY25-30</t>
        </is>
      </c>
      <c r="F11" s="75">
        <f>Forecast!$C$38</f>
        <v/>
      </c>
    </row>
    <row r="12">
      <c r="B12" s="10" t="inlineStr">
        <is>
          <t>Base case price (blended)</t>
        </is>
      </c>
      <c r="C12" s="69">
        <f>Scenarios!$D$17</f>
        <v/>
      </c>
      <c r="E12" s="10" t="inlineStr">
        <is>
          <t>Average forecast EBITDA margin</t>
        </is>
      </c>
      <c r="F12" s="75">
        <f>Forecast!$C$39</f>
        <v/>
      </c>
    </row>
    <row r="13">
      <c r="B13" s="10" t="inlineStr">
        <is>
          <t>Bull case price (blended)</t>
        </is>
      </c>
      <c r="C13" s="69">
        <f>Scenarios!$E$17</f>
        <v/>
      </c>
      <c r="E13" s="10" t="inlineStr">
        <is>
          <t>Model checks</t>
        </is>
      </c>
      <c r="F13" s="18">
        <f>Checks!$C$4</f>
        <v/>
      </c>
    </row>
    <row r="14">
      <c r="B14" s="3" t="inlineStr">
        <is>
          <t>Verdict</t>
        </is>
      </c>
      <c r="C14" s="18">
        <f>IF(DCF!$E$35&gt;0.15,"Undervalued",IF(DCF!$E$35&lt;-0.15,"Overvalued","Fairly valued"))</f>
        <v/>
      </c>
    </row>
    <row r="15">
      <c r="B15" s="11" t="inlineStr">
        <is>
          <t>Verdict band: more than +/-15% from market price</t>
        </is>
      </c>
    </row>
    <row r="17">
      <c r="B17" s="8" t="inlineStr">
        <is>
          <t>Chart data (linked)</t>
        </is>
      </c>
    </row>
    <row r="18">
      <c r="B18" s="10" t="inlineStr">
        <is>
          <t>Year</t>
        </is>
      </c>
      <c r="C18" s="76" t="inlineStr">
        <is>
          <t>FY21A</t>
        </is>
      </c>
      <c r="D18" s="76" t="inlineStr">
        <is>
          <t>FY22A</t>
        </is>
      </c>
      <c r="E18" s="76" t="inlineStr">
        <is>
          <t>FY23A</t>
        </is>
      </c>
      <c r="F18" s="76" t="inlineStr">
        <is>
          <t>FY24A</t>
        </is>
      </c>
      <c r="G18" s="76" t="inlineStr">
        <is>
          <t>FY25A</t>
        </is>
      </c>
      <c r="H18" s="76" t="inlineStr">
        <is>
          <t>FY26E</t>
        </is>
      </c>
      <c r="I18" s="76" t="inlineStr">
        <is>
          <t>FY27E</t>
        </is>
      </c>
      <c r="J18" s="76" t="inlineStr">
        <is>
          <t>FY28E</t>
        </is>
      </c>
      <c r="K18" s="76" t="inlineStr">
        <is>
          <t>FY29E</t>
        </is>
      </c>
      <c r="L18" s="76" t="inlineStr">
        <is>
          <t>FY30E</t>
        </is>
      </c>
    </row>
    <row r="19">
      <c r="B19" s="10" t="inlineStr">
        <is>
          <t>Revenue (EUR m)</t>
        </is>
      </c>
      <c r="C19" s="41">
        <f>Forecast!C7</f>
        <v/>
      </c>
      <c r="D19" s="41">
        <f>Forecast!D7</f>
        <v/>
      </c>
      <c r="E19" s="41">
        <f>Forecast!E7</f>
        <v/>
      </c>
      <c r="F19" s="41">
        <f>Forecast!F7</f>
        <v/>
      </c>
      <c r="G19" s="41">
        <f>Forecast!G7</f>
        <v/>
      </c>
      <c r="H19" s="41">
        <f>Forecast!H7</f>
        <v/>
      </c>
      <c r="I19" s="41">
        <f>Forecast!I7</f>
        <v/>
      </c>
      <c r="J19" s="41">
        <f>Forecast!J7</f>
        <v/>
      </c>
      <c r="K19" s="41">
        <f>Forecast!K7</f>
        <v/>
      </c>
      <c r="L19" s="41">
        <f>Forecast!L7</f>
        <v/>
      </c>
    </row>
    <row r="20">
      <c r="B20" s="10" t="inlineStr">
        <is>
          <t>EBITDA margin</t>
        </is>
      </c>
      <c r="C20" s="42">
        <f>Forecast!C14</f>
        <v/>
      </c>
      <c r="D20" s="42">
        <f>Forecast!D14</f>
        <v/>
      </c>
      <c r="E20" s="42">
        <f>Forecast!E14</f>
        <v/>
      </c>
      <c r="F20" s="42">
        <f>Forecast!F14</f>
        <v/>
      </c>
      <c r="G20" s="42">
        <f>Forecast!G14</f>
        <v/>
      </c>
      <c r="H20" s="42">
        <f>Forecast!H14</f>
        <v/>
      </c>
      <c r="I20" s="42">
        <f>Forecast!I14</f>
        <v/>
      </c>
      <c r="J20" s="42">
        <f>Forecast!J14</f>
        <v/>
      </c>
      <c r="K20" s="42">
        <f>Forecast!K14</f>
        <v/>
      </c>
      <c r="L20" s="42">
        <f>Forecast!L14</f>
        <v/>
      </c>
    </row>
    <row r="21">
      <c r="B21" s="10" t="inlineStr">
        <is>
          <t>Unlevered FCF (EUR m)</t>
        </is>
      </c>
      <c r="C21" s="41">
        <f>Forecast!C33</f>
        <v/>
      </c>
      <c r="D21" s="41">
        <f>Forecast!D33</f>
        <v/>
      </c>
      <c r="E21" s="41">
        <f>Forecast!E33</f>
        <v/>
      </c>
      <c r="F21" s="41">
        <f>Forecast!F33</f>
        <v/>
      </c>
      <c r="G21" s="41">
        <f>Forecast!G33</f>
        <v/>
      </c>
      <c r="H21" s="41">
        <f>Forecast!H33</f>
        <v/>
      </c>
      <c r="I21" s="41">
        <f>Forecast!I33</f>
        <v/>
      </c>
      <c r="J21" s="41">
        <f>Forecast!J33</f>
        <v/>
      </c>
      <c r="K21" s="41">
        <f>Forecast!K33</f>
        <v/>
      </c>
      <c r="L21" s="41">
        <f>Forecast!L33</f>
        <v/>
      </c>
    </row>
    <row r="23">
      <c r="B23" s="3" t="inlineStr">
        <is>
          <t>Valuation range (EUR / share)</t>
        </is>
      </c>
    </row>
    <row r="24">
      <c r="B24" s="10" t="inlineStr">
        <is>
          <t>Current market price</t>
        </is>
      </c>
      <c r="C24" s="77">
        <f>Assumptions!$C$14</f>
        <v/>
      </c>
    </row>
    <row r="25">
      <c r="B25" s="10" t="inlineStr">
        <is>
          <t>Bear (blended)</t>
        </is>
      </c>
      <c r="C25" s="77">
        <f>Scenarios!$C$17</f>
        <v/>
      </c>
    </row>
    <row r="26">
      <c r="B26" s="10" t="inlineStr">
        <is>
          <t>Base (blended)</t>
        </is>
      </c>
      <c r="C26" s="77">
        <f>Scenarios!$D$17</f>
        <v/>
      </c>
    </row>
    <row r="27">
      <c r="B27" s="10" t="inlineStr">
        <is>
          <t>Bull (blended)</t>
        </is>
      </c>
      <c r="C27" s="77">
        <f>Scenarios!$E$17</f>
        <v/>
      </c>
    </row>
    <row r="28">
      <c r="B28" s="10" t="inlineStr">
        <is>
          <t>DCF Gordon Growth</t>
        </is>
      </c>
      <c r="C28" s="77">
        <f>DCF!$C$33</f>
        <v/>
      </c>
    </row>
    <row r="29">
      <c r="B29" s="10" t="inlineStr">
        <is>
          <t>DCF Exit Multiple</t>
        </is>
      </c>
      <c r="C29" s="77">
        <f>DCF!$D$33</f>
        <v/>
      </c>
    </row>
  </sheetData>
  <conditionalFormatting sqref="C10">
    <cfRule type="cellIs" priority="1" operator="lessThan" dxfId="2">
      <formula>0</formula>
    </cfRule>
    <cfRule type="cellIs" priority="2" operator="greaterThanOrEqual" dxfId="0">
      <formula>0</formula>
    </cfRule>
  </conditionalFormatting>
  <conditionalFormatting sqref="F13">
    <cfRule type="expression" priority="3" dxfId="0">
      <formula>$F$13="ALL PASS"</formula>
    </cfRule>
    <cfRule type="expression" priority="4" dxfId="2">
      <formula>$F$13&lt;&gt;"ALL PASS"</formula>
    </cfRule>
  </conditionalFormatting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B1:E3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62" customWidth="1" min="2" max="2"/>
    <col width="16" customWidth="1" min="3" max="3"/>
    <col width="12" customWidth="1" min="4" max="4"/>
    <col width="70" customWidth="1" min="5" max="5"/>
  </cols>
  <sheetData>
    <row r="1">
      <c r="B1" s="12" t="inlineStr">
        <is>
          <t>Model Integrity Checks</t>
        </is>
      </c>
    </row>
    <row r="2">
      <c r="B2" s="13" t="inlineStr">
        <is>
          <t>Automatic tests. PASS = test met; CHECK = review the inputs. INFO = reported for judgement, not a pass/fail test.</t>
        </is>
      </c>
    </row>
    <row r="4">
      <c r="B4" s="3" t="inlineStr">
        <is>
          <t>Overall status</t>
        </is>
      </c>
      <c r="C4" s="78">
        <f>IF(COUNTIF(D7:D30,"CHECK")=0,"ALL PASS","REVIEW")</f>
        <v/>
      </c>
    </row>
    <row r="6">
      <c r="B6" s="24" t="inlineStr">
        <is>
          <t>Test</t>
        </is>
      </c>
      <c r="C6" s="25" t="inlineStr">
        <is>
          <t>Value</t>
        </is>
      </c>
      <c r="D6" s="25" t="inlineStr">
        <is>
          <t>Status</t>
        </is>
      </c>
      <c r="E6" s="25" t="inlineStr">
        <is>
          <t>What it guards against</t>
        </is>
      </c>
    </row>
    <row r="7">
      <c r="B7" s="10" t="inlineStr">
        <is>
          <t>WACC &gt; terminal growth (live)</t>
        </is>
      </c>
      <c r="C7" s="79">
        <f>WACC!$C$35-Assumptions!$E$70</f>
        <v/>
      </c>
      <c r="D7" s="76">
        <f>IF(C7&gt;0,"PASS","CHECK")</f>
        <v/>
      </c>
      <c r="E7" s="11" t="inlineStr">
        <is>
          <t>Gordon formula explodes / turns negative if g &gt;= WACC</t>
        </is>
      </c>
    </row>
    <row r="8">
      <c r="B8" s="10" t="inlineStr">
        <is>
          <t>WACC &gt; terminal growth in every scenario</t>
        </is>
      </c>
      <c r="C8" s="79">
        <f>MIN(Scenarios!$C$8-Scenarios!$C$9,Scenarios!$D$8-Scenarios!$D$9,Scenarios!$E$8-Scenarios!$E$9)</f>
        <v/>
      </c>
      <c r="D8" s="76">
        <f>IF(C8&gt;0,"PASS","CHECK")</f>
        <v/>
      </c>
      <c r="E8" s="11" t="inlineStr">
        <is>
          <t>Same test for Bear / Base / Bull</t>
        </is>
      </c>
    </row>
    <row r="9">
      <c r="B9" s="10" t="inlineStr">
        <is>
          <t>EV reconciles: EV - (sum PV FCF + PV TV), Gordon</t>
        </is>
      </c>
      <c r="C9" s="80">
        <f>DCF!$C$26-(SUMPRODUCT(DCF!E11:I11,DCF!E13:I13)+DCF!C24)</f>
        <v/>
      </c>
      <c r="D9" s="76">
        <f>IF(ABS(C9)&lt;0.01,"PASS","CHECK")</f>
        <v/>
      </c>
      <c r="E9" s="11" t="inlineStr">
        <is>
          <t>Independent recomputation of EV</t>
        </is>
      </c>
    </row>
    <row r="10">
      <c r="B10" s="10" t="inlineStr">
        <is>
          <t>EV reconciles, Exit</t>
        </is>
      </c>
      <c r="C10" s="80">
        <f>DCF!$D$26-(SUMPRODUCT(DCF!E11:I11,DCF!E13:I13)+DCF!D24)</f>
        <v/>
      </c>
      <c r="D10" s="76">
        <f>IF(ABS(C10)&lt;0.01,"PASS","CHECK")</f>
        <v/>
      </c>
      <c r="E10" s="11" t="inlineStr"/>
    </row>
    <row r="11">
      <c r="B11" s="10" t="inlineStr">
        <is>
          <t>Equity bridge: equity - (EV + cash - debt + investments)</t>
        </is>
      </c>
      <c r="C11" s="80">
        <f>DCF!$C$31-(DCF!$C$26+Assumptions!$C$16-Assumptions!$C$17+Assumptions!$C$18)</f>
        <v/>
      </c>
      <c r="D11" s="76">
        <f>IF(ABS(C11)&lt;0.01,"PASS","CHECK")</f>
        <v/>
      </c>
      <c r="E11" s="11" t="inlineStr">
        <is>
          <t>Bridge items applied once with correct signs</t>
        </is>
      </c>
    </row>
    <row r="12">
      <c r="B12" s="10" t="inlineStr">
        <is>
          <t>Forecast UFCF = NOPAT + D&amp;A - CapEx - change in NWC (sum of errors)</t>
        </is>
      </c>
      <c r="C12" s="80">
        <f>SUMPRODUCT(ABS(Forecast!H33:L33-(Forecast!H24:L24+Forecast!H16:L16-Forecast!H26:L26-Forecast!H31:L31)))</f>
        <v/>
      </c>
      <c r="D12" s="76">
        <f>IF(C12&lt;0.01,"PASS","CHECK")</f>
        <v/>
      </c>
      <c r="E12" s="11" t="inlineStr">
        <is>
          <t>Formula consistency across forecast years</t>
        </is>
      </c>
    </row>
    <row r="13">
      <c r="B13" s="10" t="inlineStr">
        <is>
          <t>Historical gross profit ties to sales - COGS</t>
        </is>
      </c>
      <c r="C13" s="80">
        <f>SUMPRODUCT(ABS(Historical!D50:H50))</f>
        <v/>
      </c>
      <c r="D13" s="76">
        <f>IF(C13&lt;0.5,"PASS","CHECK")</f>
        <v/>
      </c>
      <c r="E13" s="11" t="inlineStr">
        <is>
          <t>Data entry errors in reported figures</t>
        </is>
      </c>
    </row>
    <row r="14">
      <c r="B14" s="10" t="inlineStr">
        <is>
          <t>Forecast EBITDA margin &lt; gross margin (all years)</t>
        </is>
      </c>
      <c r="C14" s="81">
        <f>SUMPRODUCT(--(Forecast!H14:L14&gt;=Forecast!H11:L11))</f>
        <v/>
      </c>
      <c r="D14" s="76">
        <f>IF(C14=0,"PASS","CHECK")</f>
        <v/>
      </c>
      <c r="E14" s="11" t="inlineStr">
        <is>
          <t>Opex cannot be negative</t>
        </is>
      </c>
    </row>
    <row r="15">
      <c r="B15" s="10" t="inlineStr">
        <is>
          <t>EBITDA margins between 25% and 55% (economic realism)</t>
        </is>
      </c>
      <c r="C15" s="81">
        <f>SUMPRODUCT((Forecast!H14:L14&lt;0.25)+(Forecast!H14:L14&gt;0.55))</f>
        <v/>
      </c>
      <c r="D15" s="76">
        <f>IF(C15=0,"PASS","CHECK")</f>
        <v/>
      </c>
      <c r="E15" s="11" t="inlineStr">
        <is>
          <t>Outside ASML's FY21-25 range of 34-39% plus headroom</t>
        </is>
      </c>
    </row>
    <row r="16">
      <c r="B16" s="10" t="inlineStr">
        <is>
          <t>Implied opex % within 10-25% of revenue</t>
        </is>
      </c>
      <c r="C16" s="81">
        <f>SUMPRODUCT((Forecast!H36:L36&lt;0.10)+(Forecast!H36:L36&gt;0.25))</f>
        <v/>
      </c>
      <c r="D16" s="76">
        <f>IF(C16=0,"PASS","CHECK")</f>
        <v/>
      </c>
      <c r="E16" s="11" t="inlineStr">
        <is>
          <t>Gross margin and EBITDA margin assumptions are mutually consistent</t>
        </is>
      </c>
    </row>
    <row r="17">
      <c r="B17" s="10" t="inlineStr">
        <is>
          <t>Terminal value share of EV (Gordon) below 85%</t>
        </is>
      </c>
      <c r="C17" s="82">
        <f>DCF!C27</f>
        <v/>
      </c>
      <c r="D17" s="76">
        <f>IF(C17&lt;0.85,"PASS","CHECK")</f>
        <v/>
      </c>
      <c r="E17" s="11" t="inlineStr">
        <is>
          <t>Valuation not dominated by the perpetuity</t>
        </is>
      </c>
    </row>
    <row r="18">
      <c r="B18" s="10" t="inlineStr">
        <is>
          <t>Terminal value share of EV (Exit)</t>
        </is>
      </c>
      <c r="C18" s="82">
        <f>DCF!D27</f>
        <v/>
      </c>
      <c r="D18" s="76">
        <f>"INFO"</f>
        <v/>
      </c>
      <c r="E18" s="11" t="inlineStr">
        <is>
          <t>High by construction for a growth company; see sensitivity</t>
        </is>
      </c>
    </row>
    <row r="19">
      <c r="B19" s="10" t="inlineStr">
        <is>
          <t>Capital structure weights sum to 100%</t>
        </is>
      </c>
      <c r="C19" s="79">
        <f>WACC!C29+WACC!C30-1</f>
        <v/>
      </c>
      <c r="D19" s="76">
        <f>IF(ABS(C19)&lt;0.000001,"PASS","CHECK")</f>
        <v/>
      </c>
      <c r="E19" s="11" t="inlineStr"/>
    </row>
    <row r="20">
      <c r="B20" s="10" t="inlineStr">
        <is>
          <t>Sensitivity table 1 centre = DCF Gordon price</t>
        </is>
      </c>
      <c r="C20" s="83">
        <f>Sensitivity!$G$11-DCF!$C$33</f>
        <v/>
      </c>
      <c r="D20" s="76">
        <f>IF(ABS(C20)&lt;0.01,"PASS","CHECK")</f>
        <v/>
      </c>
      <c r="E20" s="11" t="inlineStr">
        <is>
          <t>Closed-form grid formula matches the full DCF</t>
        </is>
      </c>
    </row>
    <row r="21">
      <c r="B21" s="10" t="inlineStr">
        <is>
          <t>Sensitivity table 2 centre = DCF Exit price</t>
        </is>
      </c>
      <c r="C21" s="83">
        <f>Sensitivity!$G$24-DCF!$D$33</f>
        <v/>
      </c>
      <c r="D21" s="76">
        <f>IF(ABS(C21)&lt;0.01,"PASS","CHECK")</f>
        <v/>
      </c>
      <c r="E21" s="11" t="inlineStr"/>
    </row>
    <row r="22">
      <c r="B22" s="10" t="inlineStr">
        <is>
          <t>Sensitivity table 3 centre = DCF blended price</t>
        </is>
      </c>
      <c r="C22" s="83">
        <f>Sensitivity!$G$38-DCF!$E$33</f>
        <v/>
      </c>
      <c r="D22" s="76">
        <f>IF(ABS(C22)&lt;0.01,"PASS","CHECK")</f>
        <v/>
      </c>
      <c r="E22" s="11" t="inlineStr"/>
    </row>
    <row r="23">
      <c r="B23" s="10" t="inlineStr">
        <is>
          <t>Selected scenario on Scenarios tab = main DCF (blended price)</t>
        </is>
      </c>
      <c r="C23" s="83">
        <f>CHOOSE(Assumptions!$C$8,Scenarios!$C$17,Scenarios!$D$17,Scenarios!$E$17)-DCF!$E$33</f>
        <v/>
      </c>
      <c r="D23" s="76">
        <f>IF(ABS(C23)&lt;0.01,"PASS","CHECK")</f>
        <v/>
      </c>
      <c r="E23" s="11" t="inlineStr">
        <is>
          <t>Scenario engine and main model use identical logic</t>
        </is>
      </c>
    </row>
    <row r="24">
      <c r="B24" s="10" t="inlineStr">
        <is>
          <t>Scenario ordering: Bear &lt; Base &lt; Bull</t>
        </is>
      </c>
      <c r="C24" s="84">
        <f>AND(Scenarios!$C$17&lt;Scenarios!$D$17,Scenarios!$D$17&lt;Scenarios!$E$17)</f>
        <v/>
      </c>
      <c r="D24" s="76">
        <f>IF(C24,"PASS","CHECK")</f>
        <v/>
      </c>
      <c r="E24" s="11" t="inlineStr">
        <is>
          <t>Output moves logically with assumptions</t>
        </is>
      </c>
    </row>
    <row r="25">
      <c r="B25" s="10" t="inlineStr">
        <is>
          <t>Price falls when WACC rises (sensitivity row monotonic)</t>
        </is>
      </c>
      <c r="C25" s="84">
        <f>AND(Sensitivity!C11&gt;Sensitivity!G11,Sensitivity!G11&gt;Sensitivity!K11)</f>
        <v/>
      </c>
      <c r="D25" s="76">
        <f>IF(C25,"PASS","CHECK")</f>
        <v/>
      </c>
      <c r="E25" s="11" t="inlineStr">
        <is>
          <t>Direction of WACC effect</t>
        </is>
      </c>
    </row>
    <row r="26">
      <c r="B26" s="10" t="inlineStr">
        <is>
          <t>Price rises with terminal growth (sensitivity column monotonic)</t>
        </is>
      </c>
      <c r="C26" s="84">
        <f>AND(Sensitivity!G7&lt;Sensitivity!G11,Sensitivity!G11&lt;Sensitivity!G15)</f>
        <v/>
      </c>
      <c r="D26" s="76">
        <f>IF(C26,"PASS","CHECK")</f>
        <v/>
      </c>
      <c r="E26" s="11" t="inlineStr">
        <is>
          <t>Direction of g effect</t>
        </is>
      </c>
    </row>
    <row r="27">
      <c r="B27" s="10" t="inlineStr">
        <is>
          <t>No double counting: FY26 cash flow excludes H1 actual (stub)</t>
        </is>
      </c>
      <c r="C27" s="80">
        <f>DCF!E11-(DCF!E9-Assumptions!$C$19)</f>
        <v/>
      </c>
      <c r="D27" s="76">
        <f>IF(ABS(C27)&lt;0.01,"PASS","CHECK")</f>
        <v/>
      </c>
      <c r="E27" s="11" t="inlineStr">
        <is>
          <t>H1-26 cash flows sit in the 28-Jun cash balance</t>
        </is>
      </c>
    </row>
    <row r="28">
      <c r="B28" s="10" t="inlineStr">
        <is>
          <t>Balance-sheet date precedes valuation date</t>
        </is>
      </c>
      <c r="C28" s="81">
        <f>Assumptions!$C$5-Assumptions!$C$6</f>
        <v/>
      </c>
      <c r="D28" s="76">
        <f>IF(C28&gt;0,"PASS","CHECK")</f>
        <v/>
      </c>
      <c r="E28" s="11" t="inlineStr"/>
    </row>
    <row r="29">
      <c r="B29" s="10" t="inlineStr">
        <is>
          <t>Gordon implied exit multiple (for judgement)</t>
        </is>
      </c>
      <c r="C29" s="85">
        <f>DCF!C36</f>
        <v/>
      </c>
      <c r="D29" s="76">
        <f>"INFO"</f>
        <v/>
      </c>
      <c r="E29" s="11" t="inlineStr">
        <is>
          <t>Compare with the exit multiple assumption</t>
        </is>
      </c>
    </row>
    <row r="30">
      <c r="B30" s="10" t="inlineStr">
        <is>
          <t>Exit-method implied perpetual growth (for judgement)</t>
        </is>
      </c>
      <c r="C30" s="79">
        <f>DCF!D36</f>
        <v/>
      </c>
      <c r="D30" s="76">
        <f>IF(C30&lt;WACC!$C$35,"INFO","CHECK")</f>
        <v/>
      </c>
      <c r="E30" s="11" t="inlineStr">
        <is>
          <t>Above long-run GDP growth = exit multiple embeds growth beyond FY30</t>
        </is>
      </c>
    </row>
  </sheetData>
  <conditionalFormatting sqref="D7:D30">
    <cfRule type="expression" priority="1" dxfId="3">
      <formula>D7="PASS"</formula>
    </cfRule>
    <cfRule type="expression" priority="2" dxfId="4">
      <formula>D7="CHECK"</formula>
    </cfRule>
  </conditionalFormatting>
  <conditionalFormatting sqref="C4">
    <cfRule type="expression" priority="3" dxfId="3">
      <formula>$C$4="ALL PASS"</formula>
    </cfRule>
    <cfRule type="expression" priority="4" dxfId="4">
      <formula>$C$4&lt;&gt;"ALL PASS"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2026-10-07T23:27:08Z</dcterms:created>
  <dcterms:modified xsi:type="dcterms:W3CDTF">2026-10-07T23:27:08Z</dcterms:modified>
</cp:coreProperties>
</file>