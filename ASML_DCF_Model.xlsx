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worksheets/sheet1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Assumptions" sheetId="2" state="visible" r:id="rId2"/>
    <sheet name="Historical" sheetId="3" state="visible" r:id="rId3"/>
    <sheet name="Revenue Build" sheetId="4" state="visible" r:id="rId4"/>
    <sheet name="Forecast" sheetId="5" state="visible" r:id="rId5"/>
    <sheet name="WACC" sheetId="6" state="visible" r:id="rId6"/>
    <sheet name="DCF" sheetId="7" state="visible" r:id="rId7"/>
    <sheet name="Sensitivity" sheetId="8" state="visible" r:id="rId8"/>
    <sheet name="Scenarios" sheetId="9" state="visible" r:id="rId9"/>
    <sheet name="Comps" sheetId="10" state="visible" r:id="rId10"/>
    <sheet name="Dashboard" sheetId="11" state="visible" r:id="rId11"/>
    <sheet name="Check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1">
    <numFmt numFmtId="164" formatCode="yyyy-mm-dd h:mm:ss"/>
    <numFmt numFmtId="165" formatCode="dd-mmm-yyyy"/>
    <numFmt numFmtId="166" formatCode="0.0%;(0.0%);&quot;-&quot;"/>
    <numFmt numFmtId="167" formatCode="&quot;€&quot;#,##0.00"/>
    <numFmt numFmtId="168" formatCode="#,##0.0;(#,##0.0);&quot;-&quot;"/>
    <numFmt numFmtId="169" formatCode="0.00%;(0.00%);&quot;-&quot;"/>
    <numFmt numFmtId="170" formatCode="#,##0;(#,##0);&quot;-&quot;"/>
    <numFmt numFmtId="171" formatCode="0.0&quot;x&quot;"/>
    <numFmt numFmtId="172" formatCode="0.000"/>
    <numFmt numFmtId="173" formatCode="0.0000"/>
    <numFmt numFmtId="174" formatCode="&quot;€&quot;#,##0"/>
  </numFmts>
  <fonts count="12">
    <font>
      <name val="Calibri"/>
      <family val="2"/>
      <color theme="1"/>
      <sz val="11"/>
      <scheme val="minor"/>
    </font>
    <font>
      <name val="Calibri"/>
      <b val="1"/>
      <color rgb="000B1F3A"/>
      <sz val="18"/>
    </font>
    <font>
      <name val="Calibri"/>
      <i val="1"/>
      <color rgb="00595959"/>
      <sz val="10"/>
    </font>
    <font>
      <name val="Calibri"/>
      <b val="1"/>
      <color rgb="000B1F3A"/>
      <sz val="11"/>
    </font>
    <font>
      <name val="Calibri"/>
      <sz val="10"/>
    </font>
    <font>
      <name val="Calibri"/>
      <color rgb="000000FF"/>
      <sz val="10"/>
    </font>
    <font>
      <name val="Calibri"/>
      <i val="1"/>
      <color rgb="00595959"/>
      <sz val="9"/>
    </font>
    <font>
      <name val="Calibri"/>
      <b val="1"/>
      <sz val="10"/>
    </font>
    <font>
      <name val="Calibri"/>
      <b val="1"/>
      <color rgb="00FFFFFF"/>
      <sz val="10"/>
    </font>
    <font>
      <name val="Calibri"/>
      <color rgb="00007A33"/>
      <sz val="10"/>
    </font>
    <font>
      <name val="Calibri"/>
      <b val="1"/>
      <color rgb="000B1F3A"/>
      <sz val="28"/>
    </font>
    <font>
      <name val="Calibri"/>
      <color rgb="002B4BFF"/>
      <sz val="16"/>
    </font>
  </fonts>
  <fills count="10">
    <fill>
      <patternFill/>
    </fill>
    <fill>
      <patternFill patternType="gray125"/>
    </fill>
    <fill>
      <patternFill patternType="solid">
        <fgColor rgb="00E7ECF5"/>
      </patternFill>
    </fill>
    <fill>
      <patternFill patternType="solid">
        <fgColor rgb="00FFF2CC"/>
      </patternFill>
    </fill>
    <fill>
      <patternFill patternType="solid">
        <fgColor rgb="000B1F3A"/>
      </patternFill>
    </fill>
    <fill>
      <patternFill patternType="solid">
        <fgColor rgb="00E2EFDA"/>
      </patternFill>
    </fill>
    <fill>
      <patternFill patternType="solid">
        <fgColor rgb="007F7F7F"/>
      </patternFill>
    </fill>
    <fill>
      <patternFill patternType="solid">
        <fgColor rgb="002B4BFF"/>
      </patternFill>
    </fill>
    <fill>
      <patternFill patternType="solid">
        <fgColor rgb="008EA2FF"/>
      </patternFill>
    </fill>
    <fill>
      <patternFill patternType="solid">
        <fgColor rgb="00FFD966"/>
      </patternFill>
    </fill>
  </fills>
  <borders count="4">
    <border>
      <left/>
      <right/>
      <top/>
      <bottom/>
      <diagonal/>
    </border>
    <border>
      <top style="thin">
        <color rgb="00BFBFBF"/>
      </top>
    </border>
    <border>
      <top style="thin">
        <color rgb="00000000"/>
      </top>
      <bottom style="double">
        <color rgb="00000000"/>
      </bottom>
    </border>
    <border>
      <left style="medium">
        <color rgb="000B1F3A"/>
      </left>
      <right style="medium">
        <color rgb="000B1F3A"/>
      </right>
      <top style="medium">
        <color rgb="000B1F3A"/>
      </top>
      <bottom style="medium">
        <color rgb="000B1F3A"/>
      </bottom>
    </border>
  </borders>
  <cellStyleXfs count="1">
    <xf numFmtId="0" fontId="0" fillId="0" borderId="0"/>
  </cellStyleXfs>
  <cellXfs count="99">
    <xf numFmtId="0" fontId="0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7" fillId="0" borderId="0" pivotButton="0" quotePrefix="0" xfId="0"/>
    <xf numFmtId="0" fontId="4" fillId="0" borderId="0" applyAlignment="1" pivotButton="0" quotePrefix="0" xfId="0">
      <alignment horizontal="left" vertical="center"/>
    </xf>
    <xf numFmtId="165" fontId="4" fillId="0" borderId="0" applyAlignment="1" pivotButton="0" quotePrefix="0" xfId="0">
      <alignment horizontal="left" vertical="center"/>
    </xf>
    <xf numFmtId="167" fontId="4" fillId="0" borderId="0" applyAlignment="1" pivotButton="0" quotePrefix="0" xfId="0">
      <alignment horizontal="left" vertical="center"/>
    </xf>
    <xf numFmtId="166" fontId="4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4" fillId="0" borderId="0" pivotButton="0" quotePrefix="0" xfId="0"/>
    <xf numFmtId="0" fontId="6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165" fontId="5" fillId="3" borderId="0" pivotButton="0" quotePrefix="0" xfId="0"/>
    <xf numFmtId="1" fontId="5" fillId="3" borderId="0" pivotButton="0" quotePrefix="0" xfId="0"/>
    <xf numFmtId="0" fontId="7" fillId="0" borderId="0" applyAlignment="1" pivotButton="0" quotePrefix="0" xfId="0">
      <alignment horizontal="right" vertical="center"/>
    </xf>
    <xf numFmtId="166" fontId="5" fillId="3" borderId="0" pivotButton="0" quotePrefix="0" xfId="0"/>
    <xf numFmtId="167" fontId="5" fillId="3" borderId="0" pivotButton="0" quotePrefix="0" xfId="0"/>
    <xf numFmtId="168" fontId="5" fillId="3" borderId="0" pivotButton="0" quotePrefix="0" xfId="0"/>
    <xf numFmtId="169" fontId="5" fillId="3" borderId="0" pivotButton="0" quotePrefix="0" xfId="0"/>
    <xf numFmtId="2" fontId="5" fillId="3" borderId="0" pivotButton="0" quotePrefix="0" xfId="0"/>
    <xf numFmtId="170" fontId="5" fillId="3" borderId="0" pivotButton="0" quotePrefix="0" xfId="0"/>
    <xf numFmtId="0" fontId="8" fillId="4" borderId="0" applyAlignment="1" pivotButton="0" quotePrefix="0" xfId="0">
      <alignment horizontal="left" vertical="center"/>
    </xf>
    <xf numFmtId="0" fontId="8" fillId="4" borderId="0" applyAlignment="1" pivotButton="0" quotePrefix="0" xfId="0">
      <alignment horizontal="center" vertical="center"/>
    </xf>
    <xf numFmtId="1" fontId="4" fillId="0" borderId="0" pivotButton="0" quotePrefix="0" xfId="0"/>
    <xf numFmtId="0" fontId="6" fillId="0" borderId="0" applyAlignment="1" pivotButton="0" quotePrefix="0" xfId="0">
      <alignment vertical="top" wrapText="1"/>
    </xf>
    <xf numFmtId="1" fontId="7" fillId="5" borderId="0" pivotButton="0" quotePrefix="0" xfId="0"/>
    <xf numFmtId="3" fontId="5" fillId="3" borderId="0" pivotButton="0" quotePrefix="0" xfId="0"/>
    <xf numFmtId="3" fontId="4" fillId="0" borderId="0" pivotButton="0" quotePrefix="0" xfId="0"/>
    <xf numFmtId="3" fontId="7" fillId="5" borderId="0" pivotButton="0" quotePrefix="0" xfId="0"/>
    <xf numFmtId="166" fontId="4" fillId="0" borderId="0" pivotButton="0" quotePrefix="0" xfId="0"/>
    <xf numFmtId="166" fontId="7" fillId="5" borderId="0" pivotButton="0" quotePrefix="0" xfId="0"/>
    <xf numFmtId="169" fontId="7" fillId="5" borderId="0" pivotButton="0" quotePrefix="0" xfId="0"/>
    <xf numFmtId="171" fontId="5" fillId="3" borderId="0" pivotButton="0" quotePrefix="0" xfId="0"/>
    <xf numFmtId="171" fontId="7" fillId="5" borderId="0" pivotButton="0" quotePrefix="0" xfId="0"/>
    <xf numFmtId="0" fontId="8" fillId="6" borderId="0" applyAlignment="1" pivotButton="0" quotePrefix="0" xfId="0">
      <alignment horizontal="left" vertical="center"/>
    </xf>
    <xf numFmtId="0" fontId="8" fillId="6" borderId="0" applyAlignment="1" pivotButton="0" quotePrefix="0" xfId="0">
      <alignment horizontal="center" vertical="center"/>
    </xf>
    <xf numFmtId="0" fontId="0" fillId="0" borderId="1" pivotButton="0" quotePrefix="0" xfId="0"/>
    <xf numFmtId="170" fontId="7" fillId="0" borderId="1" pivotButton="0" quotePrefix="0" xfId="0"/>
    <xf numFmtId="170" fontId="4" fillId="0" borderId="0" pivotButton="0" quotePrefix="0" xfId="0"/>
    <xf numFmtId="170" fontId="7" fillId="0" borderId="0" pivotButton="0" quotePrefix="0" xfId="0"/>
    <xf numFmtId="171" fontId="7" fillId="0" borderId="0" pivotButton="0" quotePrefix="0" xfId="0"/>
    <xf numFmtId="168" fontId="4" fillId="0" borderId="0" pivotButton="0" quotePrefix="0" xfId="0"/>
    <xf numFmtId="166" fontId="7" fillId="0" borderId="0" pivotButton="0" quotePrefix="0" xfId="0"/>
    <xf numFmtId="0" fontId="8" fillId="7" borderId="0" applyAlignment="1" pivotButton="0" quotePrefix="0" xfId="0">
      <alignment horizontal="center" vertical="center"/>
    </xf>
    <xf numFmtId="1" fontId="9" fillId="0" borderId="0" pivotButton="0" quotePrefix="0" xfId="0"/>
    <xf numFmtId="168" fontId="9" fillId="0" borderId="0" pivotButton="0" quotePrefix="0" xfId="0"/>
    <xf numFmtId="170" fontId="9" fillId="0" borderId="0" pivotButton="0" quotePrefix="0" xfId="0"/>
    <xf numFmtId="166" fontId="9" fillId="0" borderId="0" pivotButton="0" quotePrefix="0" xfId="0"/>
    <xf numFmtId="170" fontId="7" fillId="0" borderId="2" pivotButton="0" quotePrefix="0" xfId="0"/>
    <xf numFmtId="0" fontId="8" fillId="8" borderId="0" applyAlignment="1" pivotButton="0" quotePrefix="0" xfId="0">
      <alignment horizontal="center" vertical="center"/>
    </xf>
    <xf numFmtId="1" fontId="6" fillId="0" borderId="0" pivotButton="0" quotePrefix="0" xfId="0"/>
    <xf numFmtId="170" fontId="9" fillId="0" borderId="1" pivotButton="0" quotePrefix="0" xfId="0"/>
    <xf numFmtId="170" fontId="9" fillId="0" borderId="2" pivotButton="0" quotePrefix="0" xfId="0"/>
    <xf numFmtId="169" fontId="9" fillId="0" borderId="0" pivotButton="0" quotePrefix="0" xfId="0"/>
    <xf numFmtId="2" fontId="9" fillId="0" borderId="0" pivotButton="0" quotePrefix="0" xfId="0"/>
    <xf numFmtId="169" fontId="4" fillId="0" borderId="0" pivotButton="0" quotePrefix="0" xfId="0"/>
    <xf numFmtId="2" fontId="4" fillId="0" borderId="0" pivotButton="0" quotePrefix="0" xfId="0"/>
    <xf numFmtId="2" fontId="7" fillId="0" borderId="0" pivotButton="0" quotePrefix="0" xfId="0"/>
    <xf numFmtId="169" fontId="7" fillId="0" borderId="0" pivotButton="0" quotePrefix="0" xfId="0"/>
    <xf numFmtId="167" fontId="9" fillId="0" borderId="0" pivotButton="0" quotePrefix="0" xfId="0"/>
    <xf numFmtId="169" fontId="7" fillId="5" borderId="3" pivotButton="0" quotePrefix="0" xfId="0"/>
    <xf numFmtId="165" fontId="4" fillId="0" borderId="0" pivotButton="0" quotePrefix="0" xfId="0"/>
    <xf numFmtId="172" fontId="4" fillId="0" borderId="0" pivotButton="0" quotePrefix="0" xfId="0"/>
    <xf numFmtId="173" fontId="4" fillId="0" borderId="0" pivotButton="0" quotePrefix="0" xfId="0"/>
    <xf numFmtId="171" fontId="9" fillId="0" borderId="0" pivotButton="0" quotePrefix="0" xfId="0"/>
    <xf numFmtId="167" fontId="7" fillId="5" borderId="3" pivotButton="0" quotePrefix="0" xfId="0"/>
    <xf numFmtId="171" fontId="4" fillId="0" borderId="0" pivotButton="0" quotePrefix="0" xfId="0"/>
    <xf numFmtId="0" fontId="8" fillId="4" borderId="0" pivotButton="0" quotePrefix="0" xfId="0"/>
    <xf numFmtId="169" fontId="8" fillId="4" borderId="0" applyAlignment="1" pivotButton="0" quotePrefix="0" xfId="0">
      <alignment horizontal="center" vertical="center"/>
    </xf>
    <xf numFmtId="169" fontId="7" fillId="2" borderId="0" applyAlignment="1" pivotButton="0" quotePrefix="0" xfId="0">
      <alignment horizontal="center" vertical="center"/>
    </xf>
    <xf numFmtId="174" fontId="4" fillId="0" borderId="0" applyAlignment="1" pivotButton="0" quotePrefix="0" xfId="0">
      <alignment horizontal="center" vertical="center"/>
    </xf>
    <xf numFmtId="174" fontId="7" fillId="9" borderId="3" applyAlignment="1" pivotButton="0" quotePrefix="0" xfId="0">
      <alignment horizontal="center" vertical="center"/>
    </xf>
    <xf numFmtId="171" fontId="7" fillId="2" borderId="0" applyAlignment="1" pivotButton="0" quotePrefix="0" xfId="0">
      <alignment horizontal="center" vertical="center"/>
    </xf>
    <xf numFmtId="167" fontId="7" fillId="0" borderId="0" pivotButton="0" quotePrefix="0" xfId="0"/>
    <xf numFmtId="167" fontId="7" fillId="5" borderId="0" pivotButton="0" quotePrefix="0" xfId="0"/>
    <xf numFmtId="4" fontId="5" fillId="3" borderId="0" pivotButton="0" quotePrefix="0" xfId="0"/>
    <xf numFmtId="167" fontId="7" fillId="0" borderId="0" applyAlignment="1" pivotButton="0" quotePrefix="0" xfId="0">
      <alignment horizontal="right" vertical="center"/>
    </xf>
    <xf numFmtId="170" fontId="7" fillId="0" borderId="0" applyAlignment="1" pivotButton="0" quotePrefix="0" xfId="0">
      <alignment horizontal="right" vertical="center"/>
    </xf>
    <xf numFmtId="167" fontId="7" fillId="5" borderId="0" applyAlignment="1" pivotButton="0" quotePrefix="0" xfId="0">
      <alignment horizontal="right" vertical="center"/>
    </xf>
    <xf numFmtId="169" fontId="7" fillId="0" borderId="0" applyAlignment="1" pivotButton="0" quotePrefix="0" xfId="0">
      <alignment horizontal="right" vertical="center"/>
    </xf>
    <xf numFmtId="166" fontId="7" fillId="5" borderId="0" applyAlignment="1" pivotButton="0" quotePrefix="0" xfId="0">
      <alignment horizontal="right" vertical="center"/>
    </xf>
    <xf numFmtId="171" fontId="7" fillId="0" borderId="0" applyAlignment="1" pivotButton="0" quotePrefix="0" xfId="0">
      <alignment horizontal="right" vertical="center"/>
    </xf>
    <xf numFmtId="166" fontId="7" fillId="0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center" vertical="center"/>
    </xf>
    <xf numFmtId="174" fontId="9" fillId="0" borderId="0" pivotButton="0" quotePrefix="0" xfId="0"/>
    <xf numFmtId="174" fontId="4" fillId="0" borderId="0" pivotButton="0" quotePrefix="0" xfId="0"/>
    <xf numFmtId="0" fontId="7" fillId="0" borderId="3" applyAlignment="1" pivotButton="0" quotePrefix="0" xfId="0">
      <alignment horizontal="center" vertical="center"/>
    </xf>
    <xf numFmtId="169" fontId="4" fillId="0" borderId="0" applyAlignment="1" pivotButton="0" quotePrefix="0" xfId="0">
      <alignment horizontal="right" vertical="center"/>
    </xf>
    <xf numFmtId="170" fontId="4" fillId="0" borderId="0" applyAlignment="1" pivotButton="0" quotePrefix="0" xfId="0">
      <alignment horizontal="right" vertical="center"/>
    </xf>
    <xf numFmtId="166" fontId="4" fillId="0" borderId="0" applyAlignment="1" pivotButton="0" quotePrefix="0" xfId="0">
      <alignment horizontal="right" vertical="center"/>
    </xf>
    <xf numFmtId="168" fontId="4" fillId="0" borderId="0" applyAlignment="1" pivotButton="0" quotePrefix="0" xfId="0">
      <alignment horizontal="right" vertical="center"/>
    </xf>
    <xf numFmtId="1" fontId="4" fillId="0" borderId="0" applyAlignment="1" pivotButton="0" quotePrefix="0" xfId="0">
      <alignment horizontal="right" vertical="center"/>
    </xf>
    <xf numFmtId="167" fontId="4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right" vertical="center"/>
    </xf>
    <xf numFmtId="171" fontId="4" fillId="0" borderId="0" applyAlignment="1" pivotButton="0" quotePrefix="0" xfId="0">
      <alignment horizontal="right" vertical="center"/>
    </xf>
  </cellXfs>
  <cellStyles count="1">
    <cellStyle name="Normal" xfId="0" builtinId="0" hidden="0"/>
  </cellStyles>
  <dxfs count="5">
    <dxf>
      <font>
        <b val="1"/>
        <color rgb="00007A33"/>
      </font>
    </dxf>
    <dxf>
      <font>
        <b val="1"/>
        <u val="single"/>
      </font>
    </dxf>
    <dxf>
      <font>
        <b val="1"/>
        <color rgb="00C00000"/>
      </font>
    </dxf>
    <dxf>
      <font>
        <b val="1"/>
        <color rgb="00006100"/>
      </font>
      <fill>
        <patternFill patternType="solid">
          <fgColor rgb="00C6EFCE"/>
        </patternFill>
      </fill>
    </dxf>
    <dxf>
      <font>
        <b val="1"/>
        <color rgb="009C0006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Revenue: FY21A-FY25A, forecast FY26E-FY30E, fade FY31E-FY35E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'Dashboard'!B21</f>
            </strRef>
          </tx>
          <spPr>
            <a:solidFill>
              <a:srgbClr val="2B4BFF"/>
            </a:solidFill>
            <a:ln>
              <a:prstDash val="solid"/>
            </a:ln>
          </spPr>
          <cat>
            <numRef>
              <f>'Dashboard'!$C$20:$Q$20</f>
            </numRef>
          </cat>
          <val>
            <numRef>
              <f>'Dashboard'!$C$21:$Q$21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EUR m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Revenue build by segment (live scenario)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'Dashboard'!B26</f>
            </strRef>
          </tx>
          <spPr>
            <a:solidFill>
              <a:srgbClr val="2B4BFF"/>
            </a:solidFill>
            <a:ln>
              <a:prstDash val="solid"/>
            </a:ln>
          </spPr>
          <cat>
            <numRef>
              <f>'Dashboard'!$C$25:$H$25</f>
            </numRef>
          </cat>
          <val>
            <numRef>
              <f>'Dashboard'!$C$26:$H$26</f>
            </numRef>
          </val>
        </ser>
        <ser>
          <idx val="1"/>
          <order val="1"/>
          <tx>
            <strRef>
              <f>'Dashboard'!B27</f>
            </strRef>
          </tx>
          <spPr>
            <a:solidFill>
              <a:srgbClr val="0B1F3A"/>
            </a:solidFill>
            <a:ln>
              <a:prstDash val="solid"/>
            </a:ln>
          </spPr>
          <cat>
            <numRef>
              <f>'Dashboard'!$C$25:$H$25</f>
            </numRef>
          </cat>
          <val>
            <numRef>
              <f>'Dashboard'!$C$27:$H$27</f>
            </numRef>
          </val>
        </ser>
        <ser>
          <idx val="2"/>
          <order val="2"/>
          <tx>
            <strRef>
              <f>'Dashboard'!B28</f>
            </strRef>
          </tx>
          <spPr>
            <a:solidFill>
              <a:srgbClr val="8EA2FF"/>
            </a:solidFill>
            <a:ln>
              <a:prstDash val="solid"/>
            </a:ln>
          </spPr>
          <cat>
            <numRef>
              <f>'Dashboard'!$C$25:$H$25</f>
            </numRef>
          </cat>
          <val>
            <numRef>
              <f>'Dashboard'!$C$28:$H$28</f>
            </numRef>
          </val>
        </ser>
        <ser>
          <idx val="3"/>
          <order val="3"/>
          <tx>
            <strRef>
              <f>'Dashboard'!B29</f>
            </strRef>
          </tx>
          <spPr>
            <a:solidFill>
              <a:srgbClr val="A6A6A6"/>
            </a:solidFill>
            <a:ln>
              <a:prstDash val="solid"/>
            </a:ln>
          </spPr>
          <cat>
            <numRef>
              <f>'Dashboard'!$C$25:$H$25</f>
            </numRef>
          </cat>
          <val>
            <numRef>
              <f>'Dashboard'!$C$29:$H$29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EUR 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EBITDA margin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'Dashboard'!B22</f>
            </strRef>
          </tx>
          <spPr>
            <a:ln w="28000">
              <a:solidFill>
                <a:srgbClr val="0B1F3A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'Dashboard'!$C$20:$Q$20</f>
            </numRef>
          </cat>
          <val>
            <numRef>
              <f>'Dashboard'!$C$22:$Q$22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%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Unlevered free cash flow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'Dashboard'!B23</f>
            </strRef>
          </tx>
          <spPr>
            <a:solidFill>
              <a:srgbClr val="0B1F3A"/>
            </a:solidFill>
            <a:ln>
              <a:prstDash val="solid"/>
            </a:ln>
          </spPr>
          <cat>
            <numRef>
              <f>'Dashboard'!$C$20:$Q$20</f>
            </numRef>
          </cat>
          <val>
            <numRef>
              <f>'Dashboard'!$C$23:$Q$23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EUR m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Football field vs market price (see C39)</a:t>
            </a:r>
          </a:p>
        </rich>
      </tx>
    </title>
    <plotArea>
      <barChart>
        <barDir val="bar"/>
        <grouping val="stacked"/>
        <ser>
          <idx val="0"/>
          <order val="0"/>
          <spPr>
            <a:noFill/>
            <a:ln>
              <a:noFill/>
              <a:prstDash val="solid"/>
            </a:ln>
          </spPr>
          <cat>
            <numRef>
              <f>'Dashboard'!$B$33:$B$37</f>
            </numRef>
          </cat>
          <val>
            <numRef>
              <f>'Dashboard'!$C$33:$C$37</f>
            </numRef>
          </val>
        </ser>
        <ser>
          <idx val="1"/>
          <order val="1"/>
          <spPr>
            <a:solidFill>
              <a:srgbClr val="2B4BFF"/>
            </a:solidFill>
            <a:ln>
              <a:prstDash val="solid"/>
            </a:ln>
          </spPr>
          <cat>
            <numRef>
              <f>'Dashboard'!$B$33:$B$37</f>
            </numRef>
          </cat>
          <val>
            <numRef>
              <f>'Dashboard'!$E$33:$E$37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EUR per share</a:t>
                </a:r>
              </a:p>
            </rich>
          </tx>
        </title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3</row>
      <rowOff>0</rowOff>
    </from>
    <ext cx="6120000" cy="30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21</row>
      <rowOff>0</rowOff>
    </from>
    <ext cx="6120000" cy="30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7</col>
      <colOff>0</colOff>
      <row>39</row>
      <rowOff>0</rowOff>
    </from>
    <ext cx="6120000" cy="306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</col>
      <colOff>0</colOff>
      <row>47</row>
      <rowOff>0</rowOff>
    </from>
    <ext cx="6120000" cy="306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7</col>
      <colOff>0</colOff>
      <row>57</row>
      <rowOff>0</rowOff>
    </from>
    <ext cx="6120000" cy="324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B1F3A"/>
    <outlinePr summaryBelow="1" summaryRight="1"/>
    <pageSetUpPr fitToPage="1"/>
  </sheetPr>
  <dimension ref="B3:C4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74" customWidth="1" min="3" max="3"/>
  </cols>
  <sheetData>
    <row r="3">
      <c r="B3" s="1" t="inlineStr">
        <is>
          <t>ASML Holding N.V.</t>
        </is>
      </c>
    </row>
    <row r="5">
      <c r="B5" s="2" t="inlineStr">
        <is>
          <t>Discounted Cash Flow Valuation</t>
        </is>
      </c>
    </row>
    <row r="8">
      <c r="B8" s="3" t="inlineStr">
        <is>
          <t>Ticker</t>
        </is>
      </c>
      <c r="C8" s="4" t="inlineStr">
        <is>
          <t>ASML (Euronext Amsterdam) / ASML (Nasdaq)</t>
        </is>
      </c>
    </row>
    <row r="9">
      <c r="B9" s="3" t="inlineStr">
        <is>
          <t>Valuation date</t>
        </is>
      </c>
      <c r="C9" s="5">
        <f>Assumptions!$C$5</f>
        <v>46302.0</v>
      </c>
    </row>
    <row r="10">
      <c r="B10" s="3" t="inlineStr">
        <is>
          <t>Currency</t>
        </is>
      </c>
      <c r="C10" s="4" t="inlineStr">
        <is>
          <t>EUR, millions unless stated</t>
        </is>
      </c>
    </row>
    <row r="11">
      <c r="B11" s="3" t="inlineStr">
        <is>
          <t>Analyst</t>
        </is>
      </c>
      <c r="C11" s="4" t="inlineStr">
        <is>
          <t>Ates Parilti</t>
        </is>
      </c>
    </row>
    <row r="12">
      <c r="B12" s="3" t="inlineStr">
        <is>
          <t>Active scenario</t>
        </is>
      </c>
      <c r="C12" s="4" t="str">
        <f>Assumptions!$C$9</f>
        <v>Base</v>
      </c>
    </row>
    <row r="13">
      <c r="B13" s="3" t="inlineStr">
        <is>
          <t>DCF price (blended)</t>
        </is>
      </c>
      <c r="C13" s="6">
        <f>DCF!$E$35</f>
        <v>935.3017177863446</v>
      </c>
    </row>
    <row r="14">
      <c r="B14" s="3" t="inlineStr">
        <is>
          <t>DCF Gordon / Exit</t>
        </is>
      </c>
      <c r="C14" s="4" t="str">
        <f>TEXT(DCF!$C$35,"€#,##0")&amp;" / "&amp;TEXT(DCF!$D$35,"€#,##0")</f>
        <v>€759 / €1,112</v>
      </c>
    </row>
    <row r="15">
      <c r="B15" s="3" t="inlineStr">
        <is>
          <t>Trading comps (peer range)</t>
        </is>
      </c>
      <c r="C15" s="4" t="str">
        <f>TEXT(Comps!$E$24,"€#,##0")&amp;" - "&amp;TEXT(Comps!$G$24,"€#,##0")</f>
        <v>€1,251 - €1,690</v>
      </c>
    </row>
    <row r="16">
      <c r="B16" s="3" t="inlineStr">
        <is>
          <t>Current share price</t>
        </is>
      </c>
      <c r="C16" s="6">
        <f>Assumptions!$C$16</f>
        <v>1611.4</v>
      </c>
    </row>
    <row r="17">
      <c r="B17" s="3" t="inlineStr">
        <is>
          <t>Upside / (downside), blended DCF</t>
        </is>
      </c>
      <c r="C17" s="7">
        <f>DCF!$E$37</f>
        <v>-0.41957197605414887</v>
      </c>
    </row>
    <row r="18">
      <c r="B18" s="3" t="inlineStr">
        <is>
          <t>Model checks</t>
        </is>
      </c>
      <c r="C18" s="4" t="str">
        <f>Checks!$C$4</f>
        <v>ALL PASS</v>
      </c>
    </row>
    <row r="20">
      <c r="B20" s="8" t="inlineStr">
        <is>
          <t>Company</t>
        </is>
      </c>
    </row>
    <row r="21" ht="75" customHeight="1">
      <c r="C21" s="9" t="inlineStr">
        <is>
          <t>ASML designs and builds the lithography systems that print circuit patterns onto silicon wafers. It is the sole supplier of EUV lithography, which every leading-edge logic and DRAM fab depends on. Revenue comes from system sales (EUV, DUV, metrology &amp; inspection) and a growing, recurring installed-base business (service and upgrades).</t>
        </is>
      </c>
    </row>
    <row r="23">
      <c r="B23" s="8" t="inlineStr">
        <is>
          <t>How to use</t>
        </is>
      </c>
    </row>
    <row r="24">
      <c r="B24" s="10" t="inlineStr">
        <is>
          <t>1. Change inputs only on Assumptions (blue on yellow). The scenario selector switches Bear / Base / Bull.</t>
        </is>
      </c>
    </row>
    <row r="25">
      <c r="B25" s="10" t="inlineStr">
        <is>
          <t>2. Revenue Build, Forecast, WACC, DCF, Sensitivity, Scenarios, Comps valuation and Dashboard are formulas.</t>
        </is>
      </c>
    </row>
    <row r="26">
      <c r="B26" s="10" t="inlineStr">
        <is>
          <t>3. Checks tests the model; the status is shown above and on the Dashboard.</t>
        </is>
      </c>
    </row>
    <row r="27">
      <c r="B27" s="10" t="inlineStr">
        <is>
          <t>Colour code: blue = hard-coded input; black = formula; green = link to another sheet; grey header = historical; blue header = forecast; light blue = fade.</t>
        </is>
      </c>
    </row>
    <row r="29">
      <c r="B29" s="8" t="inlineStr">
        <is>
          <t>Sources</t>
        </is>
      </c>
    </row>
    <row r="30">
      <c r="B30" s="11" t="inlineStr">
        <is>
          <t>[S1] ASML Form 20-F / Annual Report 2025 (US GAAP), filed 25 Feb 2026, incl. XBRL data</t>
        </is>
      </c>
      <c r="C30" s="11" t="inlineStr">
        <is>
          <t>https://www.sec.gov/Archives/edgar/data/937966/000162828026011378/asml-20251231.htm</t>
        </is>
      </c>
    </row>
    <row r="31">
      <c r="B31" s="11" t="inlineStr">
        <is>
          <t>[S2] SEC EDGAR XBRL company facts for ASML (20-F filings FY2020-FY2025)</t>
        </is>
      </c>
      <c r="C31" s="11" t="inlineStr">
        <is>
          <t>https://data.sec.gov/api/xbrl/companyfacts/CIK0000937966.json</t>
        </is>
      </c>
    </row>
    <row r="32">
      <c r="B32" s="11" t="inlineStr">
        <is>
          <t>[S3] ASML Financial Statements US GAAP Q4 2025 (Form 6-K, 28 Jan 2026)</t>
        </is>
      </c>
      <c r="C32" s="11" t="inlineStr">
        <is>
          <t>https://www.sec.gov/Archives/edgar/data/937966/000162828026003701/</t>
        </is>
      </c>
    </row>
    <row r="33">
      <c r="B33" s="11" t="inlineStr">
        <is>
          <t>[S4] ASML Q2 2026 press release and Financial Statements US GAAP (Form 6-K, 15 Jul 2026)</t>
        </is>
      </c>
      <c r="C33" s="11" t="inlineStr">
        <is>
          <t>https://www.sec.gov/Archives/edgar/data/0000937966/000162828026048235/pressreleasefinancialresul.htm</t>
        </is>
      </c>
    </row>
    <row r="34">
      <c r="B34" s="11" t="inlineStr">
        <is>
          <t>[S5] ASML (Euronext Amsterdam: ASML) closing price 7 Oct 2026, via stockanalysis.com</t>
        </is>
      </c>
      <c r="C34" s="11" t="inlineStr">
        <is>
          <t>https://stockanalysis.com/quote/ams/ASML/history/</t>
        </is>
      </c>
    </row>
    <row r="35">
      <c r="B35" s="11" t="inlineStr">
        <is>
          <t>[S6] Germany 10Y Bund yield, 7 Oct 2026, Trading Economics</t>
        </is>
      </c>
      <c r="C35" s="11" t="inlineStr">
        <is>
          <t>https://tradingeconomics.com/germany/government-bond-yield</t>
        </is>
      </c>
    </row>
    <row r="36">
      <c r="B36" s="11" t="inlineStr">
        <is>
          <t>[S7] A. Damodaran, Country risk premiums (Jan 2026): Netherlands total ERP 4.23%, CRP 0%</t>
        </is>
      </c>
      <c r="C36" s="11" t="inlineStr">
        <is>
          <t>https://pages.stern.nyu.edu/~adamodar/New_Home_Page/datafile/ctryprem.html</t>
        </is>
      </c>
    </row>
    <row r="37">
      <c r="B37" s="11" t="inlineStr">
        <is>
          <t>[S8] A. Damodaran, Betas by sector (Jan 2026): Semiconductor Equip unlevered beta corrected for cash 1.39</t>
        </is>
      </c>
      <c r="C37" s="11" t="inlineStr">
        <is>
          <t>https://pages.stern.nyu.edu/~adamodar/New_Home_Page/datafile/Betas.html</t>
        </is>
      </c>
    </row>
    <row r="38">
      <c r="B38" s="11" t="inlineStr">
        <is>
          <t>[S9] Yahoo Finance monthly and daily prices: ASML.AS and STOXX Europe 600 (^STOXX); regression beta, 52-week range, year-end prices</t>
        </is>
      </c>
      <c r="C38" s="11" t="inlineStr">
        <is>
          <t>https://finance.yahoo.com/quote/ASML.AS/history/</t>
        </is>
      </c>
    </row>
    <row r="39">
      <c r="B39" s="11" t="inlineStr">
        <is>
          <t>[S10] ASML 2024 Investor Day: 2030 revenue opportunity EUR 44-60bn, gross margin 56-60%</t>
        </is>
      </c>
      <c r="C39" s="11" t="inlineStr">
        <is>
          <t>https://investor.asml.com/news-releases/news-release-details/asml-provides-updated-view-market-opportunities-2024-investor-day-meeting</t>
        </is>
      </c>
    </row>
    <row r="40">
      <c r="B40" s="11" t="inlineStr">
        <is>
          <t>[S11] ASML Q4 2025 press release: 2025 sales EUR 32.7bn, backlog EUR 38.8bn</t>
        </is>
      </c>
      <c r="C40" s="11" t="inlineStr">
        <is>
          <t>https://www.asml.com/en/news/press-releases/2026/q4-2025-financial-results</t>
        </is>
      </c>
    </row>
    <row r="41">
      <c r="B41" s="11" t="inlineStr">
        <is>
          <t>[S12] Peer trading data (price, market cap, EV, TTM EBITDA, forward P/E, margins) for AMAT, LRCX, KLAC, Tokyo Electron, ASML, 7-8 Oct 2026, stockanalysis.com</t>
        </is>
      </c>
      <c r="C41" s="11" t="inlineStr">
        <is>
          <t>https://stockanalysis.com/stocks/amat/statistics/</t>
        </is>
      </c>
    </row>
    <row r="43">
      <c r="B43" s="11" t="inlineStr">
        <is>
          <t>For educational purposes only. Not investment advice.</t>
        </is>
      </c>
    </row>
  </sheetData>
  <conditionalFormatting sqref="C18">
    <cfRule type="expression" priority="1" dxfId="0">
      <formula>$C$18="ALL PASS"</formula>
    </cfRule>
  </conditionalFormatting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tabColor rgb="00FFC000"/>
    <outlinePr summaryBelow="1" summaryRight="1"/>
    <pageSetUpPr fitToPage="1"/>
  </sheetPr>
  <dimension ref="B1:K153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0" customWidth="1" min="2" max="2"/>
    <col width="14" customWidth="1" min="3" max="3"/>
    <col width="9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4" customWidth="1" min="10" max="10"/>
    <col width="110" customWidth="1" min="11" max="11"/>
  </cols>
  <sheetData>
    <row r="1">
      <c r="B1" s="12" t="inlineStr">
        <is>
          <t>Assumptions</t>
        </is>
      </c>
    </row>
    <row r="2">
      <c r="B2" s="13" t="inlineStr">
        <is>
          <t>All model inputs live here. Blue on yellow = hard-coded input; black = formula; green fill = live (selected scenario). EUR millions unless stated.</t>
        </is>
      </c>
    </row>
    <row r="4">
      <c r="B4" s="14" t="inlineStr">
        <is>
          <t>General</t>
        </is>
      </c>
      <c r="C4" s="15" t="n"/>
      <c r="D4" s="15" t="n"/>
      <c r="E4" s="15" t="n"/>
      <c r="F4" s="15" t="n"/>
      <c r="G4" s="15" t="n"/>
      <c r="H4" s="15" t="n"/>
      <c r="I4" s="15" t="n"/>
      <c r="J4" s="14" t="inlineStr">
        <is>
          <t>Type</t>
        </is>
      </c>
      <c r="K4" s="14" t="inlineStr">
        <is>
          <t>Source / note</t>
        </is>
      </c>
    </row>
    <row r="5">
      <c r="B5" s="10" t="inlineStr">
        <is>
          <t>Valuation date</t>
        </is>
      </c>
      <c r="C5" s="16" t="n">
        <v>46302</v>
      </c>
      <c r="J5" s="11" t="inlineStr"/>
      <c r="K5" s="11" t="inlineStr">
        <is>
          <t>Pricing date for market data</t>
        </is>
      </c>
    </row>
    <row r="6">
      <c r="B6" s="10" t="inlineStr">
        <is>
          <t>Latest balance sheet date</t>
        </is>
      </c>
      <c r="C6" s="16" t="n">
        <v>46201</v>
      </c>
      <c r="J6" s="11" t="inlineStr">
        <is>
          <t>REPORTED</t>
        </is>
      </c>
      <c r="K6" s="11" t="inlineStr">
        <is>
          <t>[S4] Q2 2026 balance sheet; cash flows after this date are valued</t>
        </is>
      </c>
    </row>
    <row r="7">
      <c r="B7" s="10" t="inlineStr">
        <is>
          <t>FY2026 year end</t>
        </is>
      </c>
      <c r="C7" s="16" t="n">
        <v>46387</v>
      </c>
      <c r="J7" s="11" t="inlineStr"/>
      <c r="K7" s="11" t="inlineStr">
        <is>
          <t>ASML fiscal year = calendar year</t>
        </is>
      </c>
    </row>
    <row r="8">
      <c r="B8" s="10" t="inlineStr">
        <is>
          <t>Scenario selector (1 Bear, 2 Base, 3 Bull)</t>
        </is>
      </c>
      <c r="C8" s="17" t="n">
        <v>2</v>
      </c>
      <c r="J8" s="11" t="inlineStr">
        <is>
          <t>INPUT</t>
        </is>
      </c>
      <c r="K8" s="11" t="inlineStr">
        <is>
          <t>Drives the live model (Revenue Build, Forecast, DCF, Sensitivity)</t>
        </is>
      </c>
    </row>
    <row r="9">
      <c r="B9" s="10" t="inlineStr">
        <is>
          <t>Active scenario</t>
        </is>
      </c>
      <c r="C9" s="18" t="str">
        <f>CHOOSE(Assumptions!$C$8,"Bear","Base","Bull")</f>
        <v>Base</v>
      </c>
    </row>
    <row r="10">
      <c r="B10" s="14" t="inlineStr">
        <is>
          <t>Method switches</t>
        </is>
      </c>
      <c r="C10" s="15" t="n"/>
      <c r="D10" s="15" t="n"/>
      <c r="E10" s="15" t="n"/>
      <c r="F10" s="15" t="n"/>
      <c r="G10" s="15" t="n"/>
      <c r="H10" s="15" t="n"/>
      <c r="I10" s="15" t="n"/>
      <c r="J10" s="14" t="inlineStr">
        <is>
          <t>Type</t>
        </is>
      </c>
      <c r="K10" s="14" t="inlineStr">
        <is>
          <t>Source / note</t>
        </is>
      </c>
    </row>
    <row r="11">
      <c r="B11" s="10" t="inlineStr">
        <is>
          <t>Mid-year discounting (1 = on, 0 = off)</t>
        </is>
      </c>
      <c r="C11" s="17" t="n">
        <v>1</v>
      </c>
      <c r="J11" s="11" t="inlineStr">
        <is>
          <t>INPUT</t>
        </is>
      </c>
      <c r="K11" s="11" t="inlineStr">
        <is>
          <t>Cash flows arrive evenly through each year (standard banking convention)</t>
        </is>
      </c>
    </row>
    <row r="12">
      <c r="B12" s="10" t="inlineStr">
        <is>
          <t>Weight of Gordon Growth in blended price</t>
        </is>
      </c>
      <c r="C12" s="19" t="n">
        <v>0.5</v>
      </c>
      <c r="J12" s="11" t="inlineStr">
        <is>
          <t>ASSUMPTION</t>
        </is>
      </c>
      <c r="K12" s="11" t="inlineStr">
        <is>
          <t>Blended DCF price = weight x Gordon + (1 - weight) x Exit Multiple</t>
        </is>
      </c>
    </row>
    <row r="13">
      <c r="B13" s="10" t="inlineStr">
        <is>
          <t>Fade period length (years)</t>
        </is>
      </c>
      <c r="C13" s="17" t="n">
        <v>5</v>
      </c>
      <c r="J13" s="11" t="inlineStr">
        <is>
          <t>ASSUMPTION</t>
        </is>
      </c>
      <c r="K13" s="11" t="inlineStr">
        <is>
          <t>FY31-FY35: growth steps linearly from the FY30 rate to terminal g; margins, capex, NWC held at FY30</t>
        </is>
      </c>
    </row>
    <row r="15">
      <c r="B15" s="14" t="inlineStr">
        <is>
          <t>Market data &amp; latest balance sheet</t>
        </is>
      </c>
      <c r="C15" s="15" t="n"/>
      <c r="D15" s="15" t="n"/>
      <c r="E15" s="15" t="n"/>
      <c r="F15" s="15" t="n"/>
      <c r="G15" s="15" t="n"/>
      <c r="H15" s="15" t="n"/>
      <c r="I15" s="15" t="n"/>
      <c r="J15" s="14" t="inlineStr">
        <is>
          <t>Type</t>
        </is>
      </c>
      <c r="K15" s="14" t="inlineStr">
        <is>
          <t>Source / note</t>
        </is>
      </c>
    </row>
    <row r="16">
      <c r="B16" s="10" t="inlineStr">
        <is>
          <t>Current share price (EUR)</t>
        </is>
      </c>
      <c r="C16" s="20" t="n">
        <v>1611.4</v>
      </c>
      <c r="J16" s="11" t="inlineStr">
        <is>
          <t>MARKET</t>
        </is>
      </c>
      <c r="K16" s="11" t="inlineStr">
        <is>
          <t>[S5] Closing price Euronext Amsterdam, 7 Oct 2026 (EUR)</t>
        </is>
      </c>
    </row>
    <row r="17">
      <c r="B17" s="10" t="inlineStr">
        <is>
          <t>Diluted shares outstanding (m)</t>
        </is>
      </c>
      <c r="C17" s="21" t="n">
        <v>384.9</v>
      </c>
      <c r="J17" s="11" t="inlineStr">
        <is>
          <t>REPORTED</t>
        </is>
      </c>
      <c r="K17" s="11" t="inlineStr">
        <is>
          <t>[S4] Diluted weighted avg. shares Q2 2026 (m)</t>
        </is>
      </c>
    </row>
    <row r="18">
      <c r="B18" s="10" t="inlineStr">
        <is>
          <t>Cash &amp; short-term investments</t>
        </is>
      </c>
      <c r="C18" s="21" t="n">
        <v>7581.5</v>
      </c>
      <c r="J18" s="11" t="inlineStr">
        <is>
          <t>REPORTED</t>
        </is>
      </c>
      <c r="K18" s="11" t="inlineStr">
        <is>
          <t>[S4] Cash 6,671.9 + short-term investments 909.6 at 28 Jun 2026</t>
        </is>
      </c>
    </row>
    <row r="19">
      <c r="B19" s="10" t="inlineStr">
        <is>
          <t>Total debt (bonds + commercial paper)</t>
        </is>
      </c>
      <c r="C19" s="21" t="n">
        <v>3697.7</v>
      </c>
      <c r="J19" s="11" t="inlineStr">
        <is>
          <t>DERIVED</t>
        </is>
      </c>
      <c r="K19" s="11" t="inlineStr">
        <is>
          <t>[S1/S4] FY25 borrowings 4,390.9 (LT 2,709.0 + current 1,681.9 incl. ECP) less H1-26 repayments 693.2</t>
        </is>
      </c>
    </row>
    <row r="20">
      <c r="B20" s="10" t="inlineStr">
        <is>
          <t>Non-operating investments</t>
        </is>
      </c>
      <c r="C20" s="21" t="n">
        <v>2310.7</v>
      </c>
      <c r="J20" s="11" t="inlineStr">
        <is>
          <t>REPORTED</t>
        </is>
      </c>
      <c r="K20" s="11" t="inlineStr">
        <is>
          <t>[S4] Equity investments 1,324.9 + equity-method investments 985.8 at 28 Jun 2026</t>
        </is>
      </c>
    </row>
    <row r="21">
      <c r="B21" s="10" t="inlineStr">
        <is>
          <t>H1-2026 actual unlevered FCF</t>
        </is>
      </c>
      <c r="C21" s="21" t="n">
        <v>-1290.9</v>
      </c>
      <c r="J21" s="11" t="inlineStr">
        <is>
          <t>DERIVED</t>
        </is>
      </c>
      <c r="K21" s="11" t="inlineStr">
        <is>
          <t>[S4] H1-26 CFO (482.5) - PP&amp;E capex 701.8 - intangibles 106.6; already reflected in 28 Jun cash</t>
        </is>
      </c>
    </row>
    <row r="22">
      <c r="B22" s="10" t="inlineStr">
        <is>
          <t>52-week low (EUR)</t>
        </is>
      </c>
      <c r="C22" s="20" t="n">
        <v>813.9</v>
      </c>
      <c r="J22" s="11" t="inlineStr">
        <is>
          <t>MARKET</t>
        </is>
      </c>
      <c r="K22" s="11" t="inlineStr">
        <is>
          <t>[S9] 52-week low close, Euronext Amsterdam (Oct-25 to Oct-26)</t>
        </is>
      </c>
    </row>
    <row r="23">
      <c r="B23" s="10" t="inlineStr">
        <is>
          <t>52-week high (EUR)</t>
        </is>
      </c>
      <c r="C23" s="20" t="n">
        <v>1721.4</v>
      </c>
      <c r="J23" s="11" t="inlineStr">
        <is>
          <t>MARKET</t>
        </is>
      </c>
      <c r="K23" s="11" t="inlineStr">
        <is>
          <t>[S9] 52-week high close, Euronext Amsterdam (Oct-25 to Oct-26)</t>
        </is>
      </c>
    </row>
    <row r="25">
      <c r="B25" s="14" t="inlineStr">
        <is>
          <t>LTM EBITDA inputs (for trading comps)</t>
        </is>
      </c>
      <c r="C25" s="15" t="n"/>
      <c r="D25" s="15" t="n"/>
      <c r="E25" s="15" t="n"/>
      <c r="F25" s="15" t="n"/>
      <c r="G25" s="15" t="n"/>
      <c r="H25" s="15" t="n"/>
      <c r="I25" s="15" t="n"/>
      <c r="J25" s="14" t="inlineStr">
        <is>
          <t>Type</t>
        </is>
      </c>
      <c r="K25" s="14" t="inlineStr">
        <is>
          <t>Source / note</t>
        </is>
      </c>
    </row>
    <row r="26">
      <c r="B26" s="10" t="inlineStr">
        <is>
          <t>H1-2026 income from operations</t>
        </is>
      </c>
      <c r="C26" s="21" t="n">
        <v>6613.9</v>
      </c>
      <c r="J26" s="11" t="inlineStr">
        <is>
          <t>REPORTED</t>
        </is>
      </c>
      <c r="K26" s="11" t="inlineStr">
        <is>
          <t>[S4] Six months to 28 Jun 2026</t>
        </is>
      </c>
    </row>
    <row r="27">
      <c r="B27" s="10" t="inlineStr">
        <is>
          <t>H1-2026 depreciation &amp; amortization</t>
        </is>
      </c>
      <c r="C27" s="21" t="n">
        <v>506.3</v>
      </c>
      <c r="J27" s="11" t="inlineStr">
        <is>
          <t>REPORTED</t>
        </is>
      </c>
      <c r="K27" s="11" t="inlineStr">
        <is>
          <t>[S4] Cash flow statement</t>
        </is>
      </c>
    </row>
    <row r="28">
      <c r="B28" s="10" t="inlineStr">
        <is>
          <t>H1-2025 income from operations</t>
        </is>
      </c>
      <c r="C28" s="21" t="n">
        <v>5402</v>
      </c>
      <c r="J28" s="11" t="inlineStr">
        <is>
          <t>REPORTED</t>
        </is>
      </c>
      <c r="K28" s="11" t="inlineStr">
        <is>
          <t>[S4] Six months to 29 Jun 2025</t>
        </is>
      </c>
    </row>
    <row r="29">
      <c r="B29" s="10" t="inlineStr">
        <is>
          <t>H1-2025 depreciation &amp; amortization</t>
        </is>
      </c>
      <c r="C29" s="21" t="n">
        <v>496.2</v>
      </c>
      <c r="J29" s="11" t="inlineStr">
        <is>
          <t>REPORTED</t>
        </is>
      </c>
      <c r="K29" s="11" t="inlineStr">
        <is>
          <t>[S4] Cash flow statement</t>
        </is>
      </c>
    </row>
    <row r="31">
      <c r="B31" s="14" t="inlineStr">
        <is>
          <t>Cost of capital inputs</t>
        </is>
      </c>
      <c r="C31" s="15" t="n"/>
      <c r="D31" s="15" t="n"/>
      <c r="E31" s="15" t="n"/>
      <c r="F31" s="15" t="n"/>
      <c r="G31" s="15" t="n"/>
      <c r="H31" s="15" t="n"/>
      <c r="I31" s="15" t="n"/>
      <c r="J31" s="14" t="inlineStr">
        <is>
          <t>Type</t>
        </is>
      </c>
      <c r="K31" s="14" t="inlineStr">
        <is>
          <t>Source / note</t>
        </is>
      </c>
    </row>
    <row r="32">
      <c r="B32" s="10" t="inlineStr">
        <is>
          <t>Risk-free rate (10Y Bund)</t>
        </is>
      </c>
      <c r="C32" s="22" t="n">
        <v>0.0351</v>
      </c>
      <c r="J32" s="11" t="inlineStr">
        <is>
          <t>MARKET</t>
        </is>
      </c>
      <c r="K32" s="11" t="inlineStr">
        <is>
          <t>[S6] German 10Y Bund yield 7 Oct 2026; EUR risk-free matching EUR cash flows</t>
        </is>
      </c>
    </row>
    <row r="33">
      <c r="B33" s="10" t="inlineStr">
        <is>
          <t>Equity risk premium</t>
        </is>
      </c>
      <c r="C33" s="22" t="n">
        <v>0.0423</v>
      </c>
      <c r="J33" s="11" t="inlineStr">
        <is>
          <t>MARKET</t>
        </is>
      </c>
      <c r="K33" s="11" t="inlineStr">
        <is>
          <t>[S7] Damodaran implied mature-market ERP, Netherlands CRP = 0</t>
        </is>
      </c>
    </row>
    <row r="34">
      <c r="B34" s="10" t="inlineStr">
        <is>
          <t>Regression beta vs STOXX Europe 600 (5Y monthly)</t>
        </is>
      </c>
      <c r="C34" s="23" t="n">
        <v>1.79</v>
      </c>
      <c r="J34" s="11" t="inlineStr">
        <is>
          <t>DERIVED</t>
        </is>
      </c>
      <c r="K34" s="11" t="inlineStr">
        <is>
          <t>[S9] Regression vs STOXX Europe 600, 60 monthly returns Oct-21 to Sep-26 (R² 0.33, std. error ~0.34): too noisy to use alone</t>
        </is>
      </c>
    </row>
    <row r="35">
      <c r="B35" s="10" t="inlineStr">
        <is>
          <t>Industry unlevered beta (semi equipment)</t>
        </is>
      </c>
      <c r="C35" s="23" t="n">
        <v>1.39</v>
      </c>
      <c r="J35" s="11" t="inlineStr">
        <is>
          <t>MARKET</t>
        </is>
      </c>
      <c r="K35" s="11" t="inlineStr">
        <is>
          <t>[S8] Semiconductor equipment unlevered beta, cash-corrected</t>
        </is>
      </c>
    </row>
    <row r="36">
      <c r="B36" s="10" t="inlineStr">
        <is>
          <t>Weight on regression beta</t>
        </is>
      </c>
      <c r="C36" s="19" t="n">
        <v>0</v>
      </c>
      <c r="J36" s="11" t="inlineStr">
        <is>
          <t>ASSUMPTION</t>
        </is>
      </c>
      <c r="K36" s="11" t="inlineStr">
        <is>
          <t>0% weight on regression: bottom-up industry beta is used (standard practice when the regression is imprecise)</t>
        </is>
      </c>
    </row>
    <row r="37">
      <c r="B37" s="10" t="inlineStr">
        <is>
          <t>Credit spread over risk-free (A1/A+)</t>
        </is>
      </c>
      <c r="C37" s="22" t="n">
        <v>0.006</v>
      </c>
      <c r="J37" s="11" t="inlineStr">
        <is>
          <t>ASSUMPTION</t>
        </is>
      </c>
      <c r="K37" s="11" t="inlineStr">
        <is>
          <t>[S1] Credit spread for A1/A+ (Moody's/Fitch) EUR corporate issuer</t>
        </is>
      </c>
    </row>
    <row r="38">
      <c r="B38" s="10" t="inlineStr">
        <is>
          <t>Marginal tax rate (debt tax shield)</t>
        </is>
      </c>
      <c r="C38" s="19" t="n">
        <v>0.258</v>
      </c>
      <c r="J38" s="11" t="inlineStr">
        <is>
          <t>ASSUMPTION</t>
        </is>
      </c>
      <c r="K38" s="11" t="inlineStr">
        <is>
          <t>Dutch statutory CIT rate 25.8% for the interest tax shield</t>
        </is>
      </c>
    </row>
    <row r="40">
      <c r="B40" s="14" t="inlineStr">
        <is>
          <t>FY2025 revenue mix (base year for the revenue build)</t>
        </is>
      </c>
      <c r="C40" s="15" t="n"/>
      <c r="D40" s="15" t="n"/>
      <c r="E40" s="15" t="n"/>
      <c r="F40" s="15" t="n"/>
      <c r="G40" s="15" t="n"/>
      <c r="H40" s="15" t="n"/>
      <c r="I40" s="15" t="n"/>
      <c r="J40" s="14" t="inlineStr">
        <is>
          <t>Type</t>
        </is>
      </c>
      <c r="K40" s="14" t="inlineStr">
        <is>
          <t>Source / note</t>
        </is>
      </c>
    </row>
    <row r="41">
      <c r="B41" s="10" t="inlineStr">
        <is>
          <t>EUV low-NA (NXE) systems recognised</t>
        </is>
      </c>
      <c r="C41" s="17" t="n">
        <v>44</v>
      </c>
      <c r="J41" s="11" t="inlineStr">
        <is>
          <t>REPORTED</t>
        </is>
      </c>
      <c r="K41" s="11" t="inlineStr">
        <is>
          <t>[S1] Note 2, net system sales per technology</t>
        </is>
      </c>
    </row>
    <row r="42">
      <c r="B42" s="10" t="inlineStr">
        <is>
          <t>EUV low-NA (NXE) sales</t>
        </is>
      </c>
      <c r="C42" s="21" t="n">
        <v>10445.8</v>
      </c>
      <c r="J42" s="11" t="inlineStr">
        <is>
          <t>REPORTED</t>
        </is>
      </c>
      <c r="K42" s="11" t="inlineStr">
        <is>
          <t>[S1]</t>
        </is>
      </c>
    </row>
    <row r="43">
      <c r="B43" s="10" t="inlineStr">
        <is>
          <t>EUV High-NA (EXE) systems recognised</t>
        </is>
      </c>
      <c r="C43" s="17" t="n">
        <v>4</v>
      </c>
      <c r="J43" s="11" t="inlineStr">
        <is>
          <t>REPORTED</t>
        </is>
      </c>
      <c r="K43" s="11" t="inlineStr">
        <is>
          <t>[S1] R&amp;D systems at customers</t>
        </is>
      </c>
    </row>
    <row r="44">
      <c r="B44" s="10" t="inlineStr">
        <is>
          <t>EUV High-NA (EXE) sales</t>
        </is>
      </c>
      <c r="C44" s="21" t="n">
        <v>1156.9</v>
      </c>
      <c r="J44" s="11" t="inlineStr">
        <is>
          <t>REPORTED</t>
        </is>
      </c>
      <c r="K44" s="11" t="inlineStr">
        <is>
          <t>[S1]</t>
        </is>
      </c>
    </row>
    <row r="45">
      <c r="B45" s="10" t="inlineStr">
        <is>
          <t>DUV immersion (ArFi) systems</t>
        </is>
      </c>
      <c r="C45" s="17" t="n">
        <v>131</v>
      </c>
      <c r="J45" s="11" t="inlineStr">
        <is>
          <t>REPORTED</t>
        </is>
      </c>
      <c r="K45" s="11" t="inlineStr">
        <is>
          <t>[S1]</t>
        </is>
      </c>
    </row>
    <row r="46">
      <c r="B46" s="10" t="inlineStr">
        <is>
          <t>DUV immersion (ArFi) sales</t>
        </is>
      </c>
      <c r="C46" s="21" t="n">
        <v>10311.4</v>
      </c>
      <c r="J46" s="11" t="inlineStr">
        <is>
          <t>REPORTED</t>
        </is>
      </c>
      <c r="K46" s="11" t="inlineStr">
        <is>
          <t>[S1]</t>
        </is>
      </c>
    </row>
    <row r="47">
      <c r="B47" s="10" t="inlineStr">
        <is>
          <t>Other DUV sales (ArF dry, KrF, i-line)</t>
        </is>
      </c>
      <c r="C47" s="21" t="n">
        <v>1735.6</v>
      </c>
      <c r="J47" s="11" t="inlineStr">
        <is>
          <t>REPORTED</t>
        </is>
      </c>
      <c r="K47" s="11" t="inlineStr">
        <is>
          <t>[S1] 427.0 + 1,001.3 + 307.3</t>
        </is>
      </c>
    </row>
    <row r="48">
      <c r="B48" s="10" t="inlineStr">
        <is>
          <t>Metrology &amp; inspection sales</t>
        </is>
      </c>
      <c r="C48" s="21" t="n">
        <v>824.6</v>
      </c>
      <c r="J48" s="11" t="inlineStr">
        <is>
          <t>REPORTED</t>
        </is>
      </c>
      <c r="K48" s="11" t="inlineStr">
        <is>
          <t>[S1]</t>
        </is>
      </c>
    </row>
    <row r="49">
      <c r="B49" s="10" t="inlineStr">
        <is>
          <t>Installed base management sales</t>
        </is>
      </c>
      <c r="C49" s="21" t="n">
        <v>8193</v>
      </c>
      <c r="J49" s="11" t="inlineStr">
        <is>
          <t>REPORTED</t>
        </is>
      </c>
      <c r="K49" s="11" t="inlineStr">
        <is>
          <t>[S3] Net service and field option sales</t>
        </is>
      </c>
    </row>
    <row r="50">
      <c r="B50" s="10" t="inlineStr">
        <is>
          <t>2026 low-NA EUV capacity (systems)</t>
        </is>
      </c>
      <c r="C50" s="17" t="n">
        <v>65</v>
      </c>
      <c r="J50" s="11" t="inlineStr">
        <is>
          <t>REPORTED</t>
        </is>
      </c>
      <c r="K50" s="11" t="inlineStr">
        <is>
          <t>[S4] '2026 low NA EUV capacity of around 65'</t>
        </is>
      </c>
    </row>
    <row r="51">
      <c r="B51" s="10" t="inlineStr">
        <is>
          <t>2026 DUV immersion capacity (systems)</t>
        </is>
      </c>
      <c r="C51" s="17" t="n">
        <v>130</v>
      </c>
      <c r="J51" s="11" t="inlineStr">
        <is>
          <t>REPORTED</t>
        </is>
      </c>
      <c r="K51" s="11" t="inlineStr">
        <is>
          <t>[S4] '2026 DUV immersion capacity of around 130'</t>
        </is>
      </c>
    </row>
    <row r="52">
      <c r="B52" s="10" t="inlineStr">
        <is>
          <t>Annual capacity expansion 2027 and 2028</t>
        </is>
      </c>
      <c r="C52" s="19" t="n">
        <v>0.3</v>
      </c>
      <c r="J52" s="11" t="inlineStr">
        <is>
          <t>REPORTED</t>
        </is>
      </c>
      <c r="K52" s="11" t="inlineStr">
        <is>
          <t>[S4] +30% planned for 2027; +30% under investigation for 2028</t>
        </is>
      </c>
    </row>
    <row r="53">
      <c r="B53" s="10" t="inlineStr">
        <is>
          <t>2026 revenue guidance, low</t>
        </is>
      </c>
      <c r="C53" s="24" t="n">
        <v>43000</v>
      </c>
      <c r="J53" s="11" t="inlineStr">
        <is>
          <t>REPORTED</t>
        </is>
      </c>
      <c r="K53" s="11" t="inlineStr">
        <is>
          <t>[S4] EUR 43-45bn</t>
        </is>
      </c>
    </row>
    <row r="54">
      <c r="B54" s="10" t="inlineStr">
        <is>
          <t>2026 revenue guidance, high</t>
        </is>
      </c>
      <c r="C54" s="24" t="n">
        <v>45000</v>
      </c>
      <c r="J54" s="11" t="inlineStr">
        <is>
          <t>REPORTED</t>
        </is>
      </c>
      <c r="K54" s="11" t="inlineStr">
        <is>
          <t>[S4]</t>
        </is>
      </c>
    </row>
    <row r="56">
      <c r="B56" s="14" t="inlineStr">
        <is>
          <t>Scenario drivers: revenue build (FY2026E - FY2030E)</t>
        </is>
      </c>
      <c r="C56" s="15" t="n"/>
      <c r="D56" s="15" t="n"/>
      <c r="E56" s="15" t="n"/>
      <c r="F56" s="15" t="n"/>
      <c r="G56" s="15" t="n"/>
      <c r="H56" s="15" t="n"/>
      <c r="I56" s="15" t="n"/>
      <c r="J56" s="15" t="n"/>
      <c r="K56" s="15" t="n"/>
    </row>
    <row r="57">
      <c r="B57" s="25" t="inlineStr">
        <is>
          <t>Driver</t>
        </is>
      </c>
      <c r="C57" s="26" t="inlineStr">
        <is>
          <t>Case</t>
        </is>
      </c>
      <c r="D57" s="26" t="inlineStr">
        <is>
          <t>Unit</t>
        </is>
      </c>
      <c r="E57" s="26" t="inlineStr">
        <is>
          <t>FY26E</t>
        </is>
      </c>
      <c r="F57" s="26" t="inlineStr">
        <is>
          <t>FY27E</t>
        </is>
      </c>
      <c r="G57" s="26" t="inlineStr">
        <is>
          <t>FY28E</t>
        </is>
      </c>
      <c r="H57" s="26" t="inlineStr">
        <is>
          <t>FY29E</t>
        </is>
      </c>
      <c r="I57" s="26" t="inlineStr">
        <is>
          <t>FY30E</t>
        </is>
      </c>
      <c r="J57" s="26" t="inlineStr">
        <is>
          <t>Average</t>
        </is>
      </c>
      <c r="K57" s="26" t="inlineStr">
        <is>
          <t>Rationale</t>
        </is>
      </c>
    </row>
    <row r="58" ht="40" customHeight="1">
      <c r="B58" s="3" t="inlineStr">
        <is>
          <t>EUV low-NA (NXE) systems</t>
        </is>
      </c>
      <c r="C58" s="10" t="inlineStr">
        <is>
          <t>Bear</t>
        </is>
      </c>
      <c r="D58" s="11" t="inlineStr">
        <is>
          <t>#</t>
        </is>
      </c>
      <c r="E58" s="17" t="n">
        <v>64</v>
      </c>
      <c r="F58" s="17" t="n">
        <v>66</v>
      </c>
      <c r="G58" s="17" t="n">
        <v>60</v>
      </c>
      <c r="H58" s="17" t="n">
        <v>66</v>
      </c>
      <c r="I58" s="17" t="n">
        <v>70</v>
      </c>
      <c r="J58" s="27">
        <f>AVERAGE(E58:I58)</f>
        <v>65.2</v>
      </c>
      <c r="K58" s="28" t="inlineStr">
        <is>
          <t>Units are anchored to ASML's stated capacity: ~65 low-NA EUV and ~130 DUV immersion systems in 2026, +30% planned for 2027 and +30% being studied for 2028. Base runs below full capacity from 2028 (utilisation ~80%). ASPs start from FY25 actuals (NXE EUR 237m, ArFi EUR 79m) and rise 2%/yr with mix (NXE:3800E, NXT:2100i). High-NA ramps from 4 R&amp;D tools to 22 in 2030. Installed base +30% in 2026 (H1-26: +28%), then grows with the fleet. FY26 total is calibrated to the EUR 43-45bn guidance.</t>
        </is>
      </c>
    </row>
    <row r="59">
      <c r="B59" s="10" t="inlineStr"/>
      <c r="C59" s="10" t="inlineStr">
        <is>
          <t>Base</t>
        </is>
      </c>
      <c r="D59" s="11" t="inlineStr">
        <is>
          <t>#</t>
        </is>
      </c>
      <c r="E59" s="17" t="n">
        <v>65</v>
      </c>
      <c r="F59" s="17" t="n">
        <v>75</v>
      </c>
      <c r="G59" s="17" t="n">
        <v>82</v>
      </c>
      <c r="H59" s="17" t="n">
        <v>86</v>
      </c>
      <c r="I59" s="17" t="n">
        <v>88</v>
      </c>
      <c r="J59" s="27">
        <f>AVERAGE(E59:I59)</f>
        <v>79.2</v>
      </c>
    </row>
    <row r="60">
      <c r="B60" s="10" t="inlineStr"/>
      <c r="C60" s="10" t="inlineStr">
        <is>
          <t>Bull</t>
        </is>
      </c>
      <c r="D60" s="11" t="inlineStr">
        <is>
          <t>#</t>
        </is>
      </c>
      <c r="E60" s="17" t="n">
        <v>65</v>
      </c>
      <c r="F60" s="17" t="n">
        <v>84</v>
      </c>
      <c r="G60" s="17" t="n">
        <v>100</v>
      </c>
      <c r="H60" s="17" t="n">
        <v>106</v>
      </c>
      <c r="I60" s="17" t="n">
        <v>110</v>
      </c>
      <c r="J60" s="27">
        <f>AVERAGE(E60:I60)</f>
        <v>93.0</v>
      </c>
    </row>
    <row r="61">
      <c r="B61" s="10" t="inlineStr"/>
      <c r="C61" s="3" t="inlineStr">
        <is>
          <t>Live ►</t>
        </is>
      </c>
      <c r="D61" s="11" t="inlineStr">
        <is>
          <t>#</t>
        </is>
      </c>
      <c r="E61" s="29">
        <f>CHOOSE(Assumptions!$C$8,E58,E59,E60)</f>
        <v>65.0</v>
      </c>
      <c r="F61" s="29">
        <f>CHOOSE(Assumptions!$C$8,F58,F59,F60)</f>
        <v>75.0</v>
      </c>
      <c r="G61" s="29">
        <f>CHOOSE(Assumptions!$C$8,G58,G59,G60)</f>
        <v>82.0</v>
      </c>
      <c r="H61" s="29">
        <f>CHOOSE(Assumptions!$C$8,H58,H59,H60)</f>
        <v>86.0</v>
      </c>
      <c r="I61" s="29">
        <f>CHOOSE(Assumptions!$C$8,I58,I59,I60)</f>
        <v>88.0</v>
      </c>
      <c r="J61" s="27">
        <f>AVERAGE(E61:I61)</f>
        <v>79.2</v>
      </c>
    </row>
    <row r="63">
      <c r="B63" s="3" t="inlineStr">
        <is>
          <t>EUV low-NA ASP</t>
        </is>
      </c>
      <c r="C63" s="10" t="inlineStr">
        <is>
          <t>Bear</t>
        </is>
      </c>
      <c r="D63" s="11" t="inlineStr">
        <is>
          <t>EUR m</t>
        </is>
      </c>
      <c r="E63" s="30" t="n">
        <v>252</v>
      </c>
      <c r="F63" s="30" t="n">
        <v>250</v>
      </c>
      <c r="G63" s="30" t="n">
        <v>252</v>
      </c>
      <c r="H63" s="30" t="n">
        <v>255</v>
      </c>
      <c r="I63" s="30" t="n">
        <v>258</v>
      </c>
      <c r="J63" s="31">
        <f>AVERAGE(E63:I63)</f>
        <v>253.4</v>
      </c>
    </row>
    <row r="64">
      <c r="B64" s="10" t="inlineStr"/>
      <c r="C64" s="10" t="inlineStr">
        <is>
          <t>Base</t>
        </is>
      </c>
      <c r="D64" s="11" t="inlineStr">
        <is>
          <t>EUR m</t>
        </is>
      </c>
      <c r="E64" s="30" t="n">
        <v>255</v>
      </c>
      <c r="F64" s="30" t="n">
        <v>260</v>
      </c>
      <c r="G64" s="30" t="n">
        <v>265</v>
      </c>
      <c r="H64" s="30" t="n">
        <v>270</v>
      </c>
      <c r="I64" s="30" t="n">
        <v>275</v>
      </c>
      <c r="J64" s="31">
        <f>AVERAGE(E64:I64)</f>
        <v>265.0</v>
      </c>
    </row>
    <row r="65">
      <c r="B65" s="10" t="inlineStr"/>
      <c r="C65" s="10" t="inlineStr">
        <is>
          <t>Bull</t>
        </is>
      </c>
      <c r="D65" s="11" t="inlineStr">
        <is>
          <t>EUR m</t>
        </is>
      </c>
      <c r="E65" s="30" t="n">
        <v>258</v>
      </c>
      <c r="F65" s="30" t="n">
        <v>262</v>
      </c>
      <c r="G65" s="30" t="n">
        <v>270</v>
      </c>
      <c r="H65" s="30" t="n">
        <v>277</v>
      </c>
      <c r="I65" s="30" t="n">
        <v>284</v>
      </c>
      <c r="J65" s="31">
        <f>AVERAGE(E65:I65)</f>
        <v>270.2</v>
      </c>
    </row>
    <row r="66">
      <c r="B66" s="10" t="inlineStr"/>
      <c r="C66" s="3" t="inlineStr">
        <is>
          <t>Live ►</t>
        </is>
      </c>
      <c r="D66" s="11" t="inlineStr">
        <is>
          <t>EUR m</t>
        </is>
      </c>
      <c r="E66" s="32">
        <f>CHOOSE(Assumptions!$C$8,E63,E64,E65)</f>
        <v>255.0</v>
      </c>
      <c r="F66" s="32">
        <f>CHOOSE(Assumptions!$C$8,F63,F64,F65)</f>
        <v>260.0</v>
      </c>
      <c r="G66" s="32">
        <f>CHOOSE(Assumptions!$C$8,G63,G64,G65)</f>
        <v>265.0</v>
      </c>
      <c r="H66" s="32">
        <f>CHOOSE(Assumptions!$C$8,H63,H64,H65)</f>
        <v>270.0</v>
      </c>
      <c r="I66" s="32">
        <f>CHOOSE(Assumptions!$C$8,I63,I64,I65)</f>
        <v>275.0</v>
      </c>
      <c r="J66" s="31">
        <f>AVERAGE(E66:I66)</f>
        <v>265.0</v>
      </c>
    </row>
    <row r="68">
      <c r="B68" s="3" t="inlineStr">
        <is>
          <t>EUV High-NA (EXE) systems</t>
        </is>
      </c>
      <c r="C68" s="10" t="inlineStr">
        <is>
          <t>Bear</t>
        </is>
      </c>
      <c r="D68" s="11" t="inlineStr">
        <is>
          <t>#</t>
        </is>
      </c>
      <c r="E68" s="17" t="n">
        <v>8</v>
      </c>
      <c r="F68" s="17" t="n">
        <v>9</v>
      </c>
      <c r="G68" s="17" t="n">
        <v>10</v>
      </c>
      <c r="H68" s="17" t="n">
        <v>12</v>
      </c>
      <c r="I68" s="17" t="n">
        <v>14</v>
      </c>
      <c r="J68" s="27">
        <f>AVERAGE(E68:I68)</f>
        <v>10.6</v>
      </c>
    </row>
    <row r="69">
      <c r="B69" s="10" t="inlineStr"/>
      <c r="C69" s="10" t="inlineStr">
        <is>
          <t>Base</t>
        </is>
      </c>
      <c r="D69" s="11" t="inlineStr">
        <is>
          <t>#</t>
        </is>
      </c>
      <c r="E69" s="17" t="n">
        <v>8</v>
      </c>
      <c r="F69" s="17" t="n">
        <v>10</v>
      </c>
      <c r="G69" s="17" t="n">
        <v>14</v>
      </c>
      <c r="H69" s="17" t="n">
        <v>18</v>
      </c>
      <c r="I69" s="17" t="n">
        <v>22</v>
      </c>
      <c r="J69" s="27">
        <f>AVERAGE(E69:I69)</f>
        <v>14.4</v>
      </c>
    </row>
    <row r="70">
      <c r="B70" s="10" t="inlineStr"/>
      <c r="C70" s="10" t="inlineStr">
        <is>
          <t>Bull</t>
        </is>
      </c>
      <c r="D70" s="11" t="inlineStr">
        <is>
          <t>#</t>
        </is>
      </c>
      <c r="E70" s="17" t="n">
        <v>9</v>
      </c>
      <c r="F70" s="17" t="n">
        <v>14</v>
      </c>
      <c r="G70" s="17" t="n">
        <v>20</v>
      </c>
      <c r="H70" s="17" t="n">
        <v>26</v>
      </c>
      <c r="I70" s="17" t="n">
        <v>32</v>
      </c>
      <c r="J70" s="27">
        <f>AVERAGE(E70:I70)</f>
        <v>20.2</v>
      </c>
    </row>
    <row r="71">
      <c r="B71" s="10" t="inlineStr"/>
      <c r="C71" s="3" t="inlineStr">
        <is>
          <t>Live ►</t>
        </is>
      </c>
      <c r="D71" s="11" t="inlineStr">
        <is>
          <t>#</t>
        </is>
      </c>
      <c r="E71" s="29">
        <f>CHOOSE(Assumptions!$C$8,E68,E69,E70)</f>
        <v>8.0</v>
      </c>
      <c r="F71" s="29">
        <f>CHOOSE(Assumptions!$C$8,F68,F69,F70)</f>
        <v>10.0</v>
      </c>
      <c r="G71" s="29">
        <f>CHOOSE(Assumptions!$C$8,G68,G69,G70)</f>
        <v>14.0</v>
      </c>
      <c r="H71" s="29">
        <f>CHOOSE(Assumptions!$C$8,H68,H69,H70)</f>
        <v>18.0</v>
      </c>
      <c r="I71" s="29">
        <f>CHOOSE(Assumptions!$C$8,I68,I69,I70)</f>
        <v>22.0</v>
      </c>
      <c r="J71" s="27">
        <f>AVERAGE(E71:I71)</f>
        <v>14.4</v>
      </c>
    </row>
    <row r="73">
      <c r="B73" s="3" t="inlineStr">
        <is>
          <t>EUV High-NA ASP</t>
        </is>
      </c>
      <c r="C73" s="10" t="inlineStr">
        <is>
          <t>Bear</t>
        </is>
      </c>
      <c r="D73" s="11" t="inlineStr">
        <is>
          <t>EUR m</t>
        </is>
      </c>
      <c r="E73" s="30" t="n">
        <v>345</v>
      </c>
      <c r="F73" s="30" t="n">
        <v>350</v>
      </c>
      <c r="G73" s="30" t="n">
        <v>355</v>
      </c>
      <c r="H73" s="30" t="n">
        <v>360</v>
      </c>
      <c r="I73" s="30" t="n">
        <v>365</v>
      </c>
      <c r="J73" s="31">
        <f>AVERAGE(E73:I73)</f>
        <v>355.0</v>
      </c>
    </row>
    <row r="74">
      <c r="B74" s="10" t="inlineStr"/>
      <c r="C74" s="10" t="inlineStr">
        <is>
          <t>Base</t>
        </is>
      </c>
      <c r="D74" s="11" t="inlineStr">
        <is>
          <t>EUR m</t>
        </is>
      </c>
      <c r="E74" s="30" t="n">
        <v>350</v>
      </c>
      <c r="F74" s="30" t="n">
        <v>360</v>
      </c>
      <c r="G74" s="30" t="n">
        <v>370</v>
      </c>
      <c r="H74" s="30" t="n">
        <v>380</v>
      </c>
      <c r="I74" s="30" t="n">
        <v>390</v>
      </c>
      <c r="J74" s="31">
        <f>AVERAGE(E74:I74)</f>
        <v>370.0</v>
      </c>
    </row>
    <row r="75">
      <c r="B75" s="10" t="inlineStr"/>
      <c r="C75" s="10" t="inlineStr">
        <is>
          <t>Bull</t>
        </is>
      </c>
      <c r="D75" s="11" t="inlineStr">
        <is>
          <t>EUR m</t>
        </is>
      </c>
      <c r="E75" s="30" t="n">
        <v>355</v>
      </c>
      <c r="F75" s="30" t="n">
        <v>370</v>
      </c>
      <c r="G75" s="30" t="n">
        <v>385</v>
      </c>
      <c r="H75" s="30" t="n">
        <v>395</v>
      </c>
      <c r="I75" s="30" t="n">
        <v>405</v>
      </c>
      <c r="J75" s="31">
        <f>AVERAGE(E75:I75)</f>
        <v>382.0</v>
      </c>
    </row>
    <row r="76">
      <c r="B76" s="10" t="inlineStr"/>
      <c r="C76" s="3" t="inlineStr">
        <is>
          <t>Live ►</t>
        </is>
      </c>
      <c r="D76" s="11" t="inlineStr">
        <is>
          <t>EUR m</t>
        </is>
      </c>
      <c r="E76" s="32">
        <f>CHOOSE(Assumptions!$C$8,E73,E74,E75)</f>
        <v>350.0</v>
      </c>
      <c r="F76" s="32">
        <f>CHOOSE(Assumptions!$C$8,F73,F74,F75)</f>
        <v>360.0</v>
      </c>
      <c r="G76" s="32">
        <f>CHOOSE(Assumptions!$C$8,G73,G74,G75)</f>
        <v>370.0</v>
      </c>
      <c r="H76" s="32">
        <f>CHOOSE(Assumptions!$C$8,H73,H74,H75)</f>
        <v>380.0</v>
      </c>
      <c r="I76" s="32">
        <f>CHOOSE(Assumptions!$C$8,I73,I74,I75)</f>
        <v>390.0</v>
      </c>
      <c r="J76" s="31">
        <f>AVERAGE(E76:I76)</f>
        <v>370.0</v>
      </c>
    </row>
    <row r="78">
      <c r="B78" s="3" t="inlineStr">
        <is>
          <t>DUV immersion (ArFi) systems</t>
        </is>
      </c>
      <c r="C78" s="10" t="inlineStr">
        <is>
          <t>Bear</t>
        </is>
      </c>
      <c r="D78" s="11" t="inlineStr">
        <is>
          <t>#</t>
        </is>
      </c>
      <c r="E78" s="17" t="n">
        <v>130</v>
      </c>
      <c r="F78" s="17" t="n">
        <v>110</v>
      </c>
      <c r="G78" s="17" t="n">
        <v>95</v>
      </c>
      <c r="H78" s="17" t="n">
        <v>100</v>
      </c>
      <c r="I78" s="17" t="n">
        <v>105</v>
      </c>
      <c r="J78" s="27">
        <f>AVERAGE(E78:I78)</f>
        <v>108.0</v>
      </c>
    </row>
    <row r="79">
      <c r="B79" s="10" t="inlineStr"/>
      <c r="C79" s="10" t="inlineStr">
        <is>
          <t>Base</t>
        </is>
      </c>
      <c r="D79" s="11" t="inlineStr">
        <is>
          <t>#</t>
        </is>
      </c>
      <c r="E79" s="17" t="n">
        <v>130</v>
      </c>
      <c r="F79" s="17" t="n">
        <v>145</v>
      </c>
      <c r="G79" s="17" t="n">
        <v>150</v>
      </c>
      <c r="H79" s="17" t="n">
        <v>145</v>
      </c>
      <c r="I79" s="17" t="n">
        <v>140</v>
      </c>
      <c r="J79" s="27">
        <f>AVERAGE(E79:I79)</f>
        <v>142.0</v>
      </c>
    </row>
    <row r="80">
      <c r="B80" s="10" t="inlineStr"/>
      <c r="C80" s="10" t="inlineStr">
        <is>
          <t>Bull</t>
        </is>
      </c>
      <c r="D80" s="11" t="inlineStr">
        <is>
          <t>#</t>
        </is>
      </c>
      <c r="E80" s="17" t="n">
        <v>130</v>
      </c>
      <c r="F80" s="17" t="n">
        <v>165</v>
      </c>
      <c r="G80" s="17" t="n">
        <v>180</v>
      </c>
      <c r="H80" s="17" t="n">
        <v>175</v>
      </c>
      <c r="I80" s="17" t="n">
        <v>170</v>
      </c>
      <c r="J80" s="27">
        <f>AVERAGE(E80:I80)</f>
        <v>164.0</v>
      </c>
    </row>
    <row r="81">
      <c r="B81" s="10" t="inlineStr"/>
      <c r="C81" s="3" t="inlineStr">
        <is>
          <t>Live ►</t>
        </is>
      </c>
      <c r="D81" s="11" t="inlineStr">
        <is>
          <t>#</t>
        </is>
      </c>
      <c r="E81" s="29">
        <f>CHOOSE(Assumptions!$C$8,E78,E79,E80)</f>
        <v>130.0</v>
      </c>
      <c r="F81" s="29">
        <f>CHOOSE(Assumptions!$C$8,F78,F79,F80)</f>
        <v>145.0</v>
      </c>
      <c r="G81" s="29">
        <f>CHOOSE(Assumptions!$C$8,G78,G79,G80)</f>
        <v>150.0</v>
      </c>
      <c r="H81" s="29">
        <f>CHOOSE(Assumptions!$C$8,H78,H79,H80)</f>
        <v>145.0</v>
      </c>
      <c r="I81" s="29">
        <f>CHOOSE(Assumptions!$C$8,I78,I79,I80)</f>
        <v>140.0</v>
      </c>
      <c r="J81" s="27">
        <f>AVERAGE(E81:I81)</f>
        <v>142.0</v>
      </c>
    </row>
    <row r="83">
      <c r="B83" s="3" t="inlineStr">
        <is>
          <t>DUV immersion ASP</t>
        </is>
      </c>
      <c r="C83" s="10" t="inlineStr">
        <is>
          <t>Bear</t>
        </is>
      </c>
      <c r="D83" s="11" t="inlineStr">
        <is>
          <t>EUR m</t>
        </is>
      </c>
      <c r="E83" s="30" t="n">
        <v>84</v>
      </c>
      <c r="F83" s="30" t="n">
        <v>84</v>
      </c>
      <c r="G83" s="30" t="n">
        <v>84</v>
      </c>
      <c r="H83" s="30" t="n">
        <v>85</v>
      </c>
      <c r="I83" s="30" t="n">
        <v>86</v>
      </c>
      <c r="J83" s="31">
        <f>AVERAGE(E83:I83)</f>
        <v>84.6</v>
      </c>
    </row>
    <row r="84">
      <c r="B84" s="10" t="inlineStr"/>
      <c r="C84" s="10" t="inlineStr">
        <is>
          <t>Base</t>
        </is>
      </c>
      <c r="D84" s="11" t="inlineStr">
        <is>
          <t>EUR m</t>
        </is>
      </c>
      <c r="E84" s="30" t="n">
        <v>86</v>
      </c>
      <c r="F84" s="30" t="n">
        <v>87</v>
      </c>
      <c r="G84" s="30" t="n">
        <v>89</v>
      </c>
      <c r="H84" s="30" t="n">
        <v>91</v>
      </c>
      <c r="I84" s="30" t="n">
        <v>93</v>
      </c>
      <c r="J84" s="31">
        <f>AVERAGE(E84:I84)</f>
        <v>89.2</v>
      </c>
    </row>
    <row r="85">
      <c r="B85" s="10" t="inlineStr"/>
      <c r="C85" s="10" t="inlineStr">
        <is>
          <t>Bull</t>
        </is>
      </c>
      <c r="D85" s="11" t="inlineStr">
        <is>
          <t>EUR m</t>
        </is>
      </c>
      <c r="E85" s="30" t="n">
        <v>88</v>
      </c>
      <c r="F85" s="30" t="n">
        <v>89</v>
      </c>
      <c r="G85" s="30" t="n">
        <v>92</v>
      </c>
      <c r="H85" s="30" t="n">
        <v>94</v>
      </c>
      <c r="I85" s="30" t="n">
        <v>96</v>
      </c>
      <c r="J85" s="31">
        <f>AVERAGE(E85:I85)</f>
        <v>91.8</v>
      </c>
    </row>
    <row r="86">
      <c r="B86" s="10" t="inlineStr"/>
      <c r="C86" s="3" t="inlineStr">
        <is>
          <t>Live ►</t>
        </is>
      </c>
      <c r="D86" s="11" t="inlineStr">
        <is>
          <t>EUR m</t>
        </is>
      </c>
      <c r="E86" s="32">
        <f>CHOOSE(Assumptions!$C$8,E83,E84,E85)</f>
        <v>86.0</v>
      </c>
      <c r="F86" s="32">
        <f>CHOOSE(Assumptions!$C$8,F83,F84,F85)</f>
        <v>87.0</v>
      </c>
      <c r="G86" s="32">
        <f>CHOOSE(Assumptions!$C$8,G83,G84,G85)</f>
        <v>89.0</v>
      </c>
      <c r="H86" s="32">
        <f>CHOOSE(Assumptions!$C$8,H83,H84,H85)</f>
        <v>91.0</v>
      </c>
      <c r="I86" s="32">
        <f>CHOOSE(Assumptions!$C$8,I83,I84,I85)</f>
        <v>93.0</v>
      </c>
      <c r="J86" s="31">
        <f>AVERAGE(E86:I86)</f>
        <v>89.2</v>
      </c>
    </row>
    <row r="88">
      <c r="B88" s="3" t="inlineStr">
        <is>
          <t>Other DUV (dry, KrF, i-line) growth</t>
        </is>
      </c>
      <c r="C88" s="10" t="inlineStr">
        <is>
          <t>Bear</t>
        </is>
      </c>
      <c r="D88" s="11" t="inlineStr">
        <is>
          <t>%</t>
        </is>
      </c>
      <c r="E88" s="19" t="n">
        <v>-0.05</v>
      </c>
      <c r="F88" s="19" t="n">
        <v>-0.1</v>
      </c>
      <c r="G88" s="19" t="n">
        <v>-0.1</v>
      </c>
      <c r="H88" s="19" t="n">
        <v>0</v>
      </c>
      <c r="I88" s="19" t="n">
        <v>0</v>
      </c>
      <c r="J88" s="33">
        <f>AVERAGE(E88:I88)</f>
        <v>-0.05</v>
      </c>
    </row>
    <row r="89">
      <c r="B89" s="10" t="inlineStr"/>
      <c r="C89" s="10" t="inlineStr">
        <is>
          <t>Base</t>
        </is>
      </c>
      <c r="D89" s="11" t="inlineStr">
        <is>
          <t>%</t>
        </is>
      </c>
      <c r="E89" s="19" t="n">
        <v>0</v>
      </c>
      <c r="F89" s="19" t="n">
        <v>0</v>
      </c>
      <c r="G89" s="19" t="n">
        <v>0</v>
      </c>
      <c r="H89" s="19" t="n">
        <v>0</v>
      </c>
      <c r="I89" s="19" t="n">
        <v>0</v>
      </c>
      <c r="J89" s="33">
        <f>AVERAGE(E89:I89)</f>
        <v>0.0</v>
      </c>
    </row>
    <row r="90">
      <c r="B90" s="10" t="inlineStr"/>
      <c r="C90" s="10" t="inlineStr">
        <is>
          <t>Bull</t>
        </is>
      </c>
      <c r="D90" s="11" t="inlineStr">
        <is>
          <t>%</t>
        </is>
      </c>
      <c r="E90" s="19" t="n">
        <v>0.02</v>
      </c>
      <c r="F90" s="19" t="n">
        <v>0.05</v>
      </c>
      <c r="G90" s="19" t="n">
        <v>0</v>
      </c>
      <c r="H90" s="19" t="n">
        <v>0</v>
      </c>
      <c r="I90" s="19" t="n">
        <v>0</v>
      </c>
      <c r="J90" s="33">
        <f>AVERAGE(E90:I90)</f>
        <v>0.014000000000000002</v>
      </c>
    </row>
    <row r="91">
      <c r="B91" s="10" t="inlineStr"/>
      <c r="C91" s="3" t="inlineStr">
        <is>
          <t>Live ►</t>
        </is>
      </c>
      <c r="D91" s="11" t="inlineStr">
        <is>
          <t>%</t>
        </is>
      </c>
      <c r="E91" s="34">
        <f>CHOOSE(Assumptions!$C$8,E88,E89,E90)</f>
        <v>0.0</v>
      </c>
      <c r="F91" s="34">
        <f>CHOOSE(Assumptions!$C$8,F88,F89,F90)</f>
        <v>0.0</v>
      </c>
      <c r="G91" s="34">
        <f>CHOOSE(Assumptions!$C$8,G88,G89,G90)</f>
        <v>0.0</v>
      </c>
      <c r="H91" s="34">
        <f>CHOOSE(Assumptions!$C$8,H88,H89,H90)</f>
        <v>0.0</v>
      </c>
      <c r="I91" s="34">
        <f>CHOOSE(Assumptions!$C$8,I88,I89,I90)</f>
        <v>0.0</v>
      </c>
      <c r="J91" s="33">
        <f>AVERAGE(E91:I91)</f>
        <v>0.0</v>
      </c>
    </row>
    <row r="93">
      <c r="B93" s="3" t="inlineStr">
        <is>
          <t>Metrology &amp; inspection growth</t>
        </is>
      </c>
      <c r="C93" s="10" t="inlineStr">
        <is>
          <t>Bear</t>
        </is>
      </c>
      <c r="D93" s="11" t="inlineStr">
        <is>
          <t>%</t>
        </is>
      </c>
      <c r="E93" s="19" t="n">
        <v>0.1</v>
      </c>
      <c r="F93" s="19" t="n">
        <v>0.02</v>
      </c>
      <c r="G93" s="19" t="n">
        <v>0</v>
      </c>
      <c r="H93" s="19" t="n">
        <v>0.03</v>
      </c>
      <c r="I93" s="19" t="n">
        <v>0.03</v>
      </c>
      <c r="J93" s="33">
        <f>AVERAGE(E93:I93)</f>
        <v>0.036000000000000004</v>
      </c>
    </row>
    <row r="94">
      <c r="B94" s="10" t="inlineStr"/>
      <c r="C94" s="10" t="inlineStr">
        <is>
          <t>Base</t>
        </is>
      </c>
      <c r="D94" s="11" t="inlineStr">
        <is>
          <t>%</t>
        </is>
      </c>
      <c r="E94" s="19" t="n">
        <v>0.2</v>
      </c>
      <c r="F94" s="19" t="n">
        <v>0.1</v>
      </c>
      <c r="G94" s="19" t="n">
        <v>0.08</v>
      </c>
      <c r="H94" s="19" t="n">
        <v>0.06</v>
      </c>
      <c r="I94" s="19" t="n">
        <v>0.05</v>
      </c>
      <c r="J94" s="33">
        <f>AVERAGE(E94:I94)</f>
        <v>0.098</v>
      </c>
    </row>
    <row r="95">
      <c r="B95" s="10" t="inlineStr"/>
      <c r="C95" s="10" t="inlineStr">
        <is>
          <t>Bull</t>
        </is>
      </c>
      <c r="D95" s="11" t="inlineStr">
        <is>
          <t>%</t>
        </is>
      </c>
      <c r="E95" s="19" t="n">
        <v>0.22</v>
      </c>
      <c r="F95" s="19" t="n">
        <v>0.14</v>
      </c>
      <c r="G95" s="19" t="n">
        <v>0.12</v>
      </c>
      <c r="H95" s="19" t="n">
        <v>0.1</v>
      </c>
      <c r="I95" s="19" t="n">
        <v>0.08</v>
      </c>
      <c r="J95" s="33">
        <f>AVERAGE(E95:I95)</f>
        <v>0.13199999999999998</v>
      </c>
    </row>
    <row r="96">
      <c r="B96" s="10" t="inlineStr"/>
      <c r="C96" s="3" t="inlineStr">
        <is>
          <t>Live ►</t>
        </is>
      </c>
      <c r="D96" s="11" t="inlineStr">
        <is>
          <t>%</t>
        </is>
      </c>
      <c r="E96" s="34">
        <f>CHOOSE(Assumptions!$C$8,E93,E94,E95)</f>
        <v>0.2</v>
      </c>
      <c r="F96" s="34">
        <f>CHOOSE(Assumptions!$C$8,F93,F94,F95)</f>
        <v>0.1</v>
      </c>
      <c r="G96" s="34">
        <f>CHOOSE(Assumptions!$C$8,G93,G94,G95)</f>
        <v>0.08</v>
      </c>
      <c r="H96" s="34">
        <f>CHOOSE(Assumptions!$C$8,H93,H94,H95)</f>
        <v>0.06</v>
      </c>
      <c r="I96" s="34">
        <f>CHOOSE(Assumptions!$C$8,I93,I94,I95)</f>
        <v>0.05</v>
      </c>
      <c r="J96" s="33">
        <f>AVERAGE(E96:I96)</f>
        <v>0.098</v>
      </c>
    </row>
    <row r="98">
      <c r="B98" s="3" t="inlineStr">
        <is>
          <t>Installed base management growth</t>
        </is>
      </c>
      <c r="C98" s="10" t="inlineStr">
        <is>
          <t>Bear</t>
        </is>
      </c>
      <c r="D98" s="11" t="inlineStr">
        <is>
          <t>%</t>
        </is>
      </c>
      <c r="E98" s="19" t="n">
        <v>0.3</v>
      </c>
      <c r="F98" s="19" t="n">
        <v>0.04</v>
      </c>
      <c r="G98" s="19" t="n">
        <v>0.02</v>
      </c>
      <c r="H98" s="19" t="n">
        <v>0.04</v>
      </c>
      <c r="I98" s="19" t="n">
        <v>0.04</v>
      </c>
      <c r="J98" s="33">
        <f>AVERAGE(E98:I98)</f>
        <v>0.088</v>
      </c>
    </row>
    <row r="99">
      <c r="B99" s="10" t="inlineStr"/>
      <c r="C99" s="10" t="inlineStr">
        <is>
          <t>Base</t>
        </is>
      </c>
      <c r="D99" s="11" t="inlineStr">
        <is>
          <t>%</t>
        </is>
      </c>
      <c r="E99" s="19" t="n">
        <v>0.3</v>
      </c>
      <c r="F99" s="19" t="n">
        <v>0.12</v>
      </c>
      <c r="G99" s="19" t="n">
        <v>0.1</v>
      </c>
      <c r="H99" s="19" t="n">
        <v>0.08</v>
      </c>
      <c r="I99" s="19" t="n">
        <v>0.07000000000000001</v>
      </c>
      <c r="J99" s="33">
        <f>AVERAGE(E99:I99)</f>
        <v>0.13399999999999998</v>
      </c>
    </row>
    <row r="100">
      <c r="B100" s="10" t="inlineStr"/>
      <c r="C100" s="10" t="inlineStr">
        <is>
          <t>Bull</t>
        </is>
      </c>
      <c r="D100" s="11" t="inlineStr">
        <is>
          <t>%</t>
        </is>
      </c>
      <c r="E100" s="19" t="n">
        <v>0.31</v>
      </c>
      <c r="F100" s="19" t="n">
        <v>0.15</v>
      </c>
      <c r="G100" s="19" t="n">
        <v>0.13</v>
      </c>
      <c r="H100" s="19" t="n">
        <v>0.11</v>
      </c>
      <c r="I100" s="19" t="n">
        <v>0.1</v>
      </c>
      <c r="J100" s="33">
        <f>AVERAGE(E100:I100)</f>
        <v>0.15999999999999998</v>
      </c>
    </row>
    <row r="101">
      <c r="B101" s="10" t="inlineStr"/>
      <c r="C101" s="3" t="inlineStr">
        <is>
          <t>Live ►</t>
        </is>
      </c>
      <c r="D101" s="11" t="inlineStr">
        <is>
          <t>%</t>
        </is>
      </c>
      <c r="E101" s="34">
        <f>CHOOSE(Assumptions!$C$8,E98,E99,E100)</f>
        <v>0.3</v>
      </c>
      <c r="F101" s="34">
        <f>CHOOSE(Assumptions!$C$8,F98,F99,F100)</f>
        <v>0.12</v>
      </c>
      <c r="G101" s="34">
        <f>CHOOSE(Assumptions!$C$8,G98,G99,G100)</f>
        <v>0.1</v>
      </c>
      <c r="H101" s="34">
        <f>CHOOSE(Assumptions!$C$8,H98,H99,H100)</f>
        <v>0.08</v>
      </c>
      <c r="I101" s="34">
        <f>CHOOSE(Assumptions!$C$8,I98,I99,I100)</f>
        <v>0.07</v>
      </c>
      <c r="J101" s="33">
        <f>AVERAGE(E101:I101)</f>
        <v>0.13399999999999998</v>
      </c>
    </row>
    <row r="103">
      <c r="B103" s="14" t="inlineStr">
        <is>
          <t>Scenario drivers: margins, investment, tax (FY2026E - FY2030E; FY31-35 held at FY30)</t>
        </is>
      </c>
      <c r="C103" s="15" t="n"/>
      <c r="D103" s="15" t="n"/>
      <c r="E103" s="15" t="n"/>
      <c r="F103" s="15" t="n"/>
      <c r="G103" s="15" t="n"/>
      <c r="H103" s="15" t="n"/>
      <c r="I103" s="15" t="n"/>
      <c r="J103" s="15" t="n"/>
      <c r="K103" s="15" t="n"/>
    </row>
    <row r="104" ht="40" customHeight="1">
      <c r="B104" s="3" t="inlineStr">
        <is>
          <t>Gross margin</t>
        </is>
      </c>
      <c r="C104" s="10" t="inlineStr">
        <is>
          <t>Bear</t>
        </is>
      </c>
      <c r="D104" s="11" t="inlineStr">
        <is>
          <t>%</t>
        </is>
      </c>
      <c r="E104" s="19" t="n">
        <v>0.54</v>
      </c>
      <c r="F104" s="19" t="n">
        <v>0.51</v>
      </c>
      <c r="G104" s="19" t="n">
        <v>0.5</v>
      </c>
      <c r="H104" s="19" t="n">
        <v>0.51</v>
      </c>
      <c r="I104" s="19" t="n">
        <v>0.52</v>
      </c>
      <c r="J104" s="33">
        <f>AVERAGE(E104:I104)</f>
        <v>0.516</v>
      </c>
      <c r="K104" s="28" t="inlineStr">
        <is>
          <t>FY26 guide 54-56%. Base trends to 57%, inside ASML's 2030 target band of 56-60% (EUV mix, High-NA maturing, services).</t>
        </is>
      </c>
    </row>
    <row r="105">
      <c r="B105" s="10" t="inlineStr"/>
      <c r="C105" s="10" t="inlineStr">
        <is>
          <t>Base</t>
        </is>
      </c>
      <c r="D105" s="11" t="inlineStr">
        <is>
          <t>%</t>
        </is>
      </c>
      <c r="E105" s="19" t="n">
        <v>0.55</v>
      </c>
      <c r="F105" s="19" t="n">
        <v>0.5600000000000001</v>
      </c>
      <c r="G105" s="19" t="n">
        <v>0.5649999999999999</v>
      </c>
      <c r="H105" s="19" t="n">
        <v>0.57</v>
      </c>
      <c r="I105" s="19" t="n">
        <v>0.57</v>
      </c>
      <c r="J105" s="33">
        <f>AVERAGE(E105:I105)</f>
        <v>0.563</v>
      </c>
    </row>
    <row r="106">
      <c r="B106" s="10" t="inlineStr"/>
      <c r="C106" s="10" t="inlineStr">
        <is>
          <t>Bull</t>
        </is>
      </c>
      <c r="D106" s="11" t="inlineStr">
        <is>
          <t>%</t>
        </is>
      </c>
      <c r="E106" s="19" t="n">
        <v>0.555</v>
      </c>
      <c r="F106" s="19" t="n">
        <v>0.57</v>
      </c>
      <c r="G106" s="19" t="n">
        <v>0.58</v>
      </c>
      <c r="H106" s="19" t="n">
        <v>0.59</v>
      </c>
      <c r="I106" s="19" t="n">
        <v>0.6</v>
      </c>
      <c r="J106" s="33">
        <f>AVERAGE(E106:I106)</f>
        <v>0.579</v>
      </c>
    </row>
    <row r="107">
      <c r="B107" s="10" t="inlineStr"/>
      <c r="C107" s="3" t="inlineStr">
        <is>
          <t>Live ►</t>
        </is>
      </c>
      <c r="D107" s="11" t="inlineStr">
        <is>
          <t>%</t>
        </is>
      </c>
      <c r="E107" s="34">
        <f>CHOOSE(Assumptions!$C$8,E104,E105,E106)</f>
        <v>0.55</v>
      </c>
      <c r="F107" s="34">
        <f>CHOOSE(Assumptions!$C$8,F104,F105,F106)</f>
        <v>0.56</v>
      </c>
      <c r="G107" s="34">
        <f>CHOOSE(Assumptions!$C$8,G104,G105,G106)</f>
        <v>0.565</v>
      </c>
      <c r="H107" s="34">
        <f>CHOOSE(Assumptions!$C$8,H104,H105,H106)</f>
        <v>0.57</v>
      </c>
      <c r="I107" s="34">
        <f>CHOOSE(Assumptions!$C$8,I104,I105,I106)</f>
        <v>0.57</v>
      </c>
      <c r="J107" s="33">
        <f>AVERAGE(E107:I107)</f>
        <v>0.563</v>
      </c>
    </row>
    <row r="109" ht="40" customHeight="1">
      <c r="B109" s="3" t="inlineStr">
        <is>
          <t>EBITDA margin</t>
        </is>
      </c>
      <c r="C109" s="10" t="inlineStr">
        <is>
          <t>Bear</t>
        </is>
      </c>
      <c r="D109" s="11" t="inlineStr">
        <is>
          <t>%</t>
        </is>
      </c>
      <c r="E109" s="19" t="n">
        <v>0.395</v>
      </c>
      <c r="F109" s="19" t="n">
        <v>0.36</v>
      </c>
      <c r="G109" s="19" t="n">
        <v>0.345</v>
      </c>
      <c r="H109" s="19" t="n">
        <v>0.355</v>
      </c>
      <c r="I109" s="19" t="n">
        <v>0.365</v>
      </c>
      <c r="J109" s="33">
        <f>AVERAGE(E109:I109)</f>
        <v>0.364</v>
      </c>
      <c r="K109" s="28" t="inlineStr">
        <is>
          <t>FY25A 37.7%, H1-26 op. margin 36.6% with H2 guided higher. Opex (R&amp;D ~14% of sales) grows slower than revenue = operating leverage. Bear shows a downturn with R&amp;D held flat in absolute terms.</t>
        </is>
      </c>
    </row>
    <row r="110">
      <c r="B110" s="10" t="inlineStr"/>
      <c r="C110" s="10" t="inlineStr">
        <is>
          <t>Base</t>
        </is>
      </c>
      <c r="D110" s="11" t="inlineStr">
        <is>
          <t>%</t>
        </is>
      </c>
      <c r="E110" s="19" t="n">
        <v>0.41</v>
      </c>
      <c r="F110" s="19" t="n">
        <v>0.42</v>
      </c>
      <c r="G110" s="19" t="n">
        <v>0.425</v>
      </c>
      <c r="H110" s="19" t="n">
        <v>0.43</v>
      </c>
      <c r="I110" s="19" t="n">
        <v>0.43</v>
      </c>
      <c r="J110" s="33">
        <f>AVERAGE(E110:I110)</f>
        <v>0.42299999999999993</v>
      </c>
    </row>
    <row r="111">
      <c r="B111" s="10" t="inlineStr"/>
      <c r="C111" s="10" t="inlineStr">
        <is>
          <t>Bull</t>
        </is>
      </c>
      <c r="D111" s="11" t="inlineStr">
        <is>
          <t>%</t>
        </is>
      </c>
      <c r="E111" s="19" t="n">
        <v>0.415</v>
      </c>
      <c r="F111" s="19" t="n">
        <v>0.435</v>
      </c>
      <c r="G111" s="19" t="n">
        <v>0.45</v>
      </c>
      <c r="H111" s="19" t="n">
        <v>0.46</v>
      </c>
      <c r="I111" s="19" t="n">
        <v>0.465</v>
      </c>
      <c r="J111" s="33">
        <f>AVERAGE(E111:I111)</f>
        <v>0.445</v>
      </c>
    </row>
    <row r="112">
      <c r="B112" s="10" t="inlineStr"/>
      <c r="C112" s="3" t="inlineStr">
        <is>
          <t>Live ►</t>
        </is>
      </c>
      <c r="D112" s="11" t="inlineStr">
        <is>
          <t>%</t>
        </is>
      </c>
      <c r="E112" s="34">
        <f>CHOOSE(Assumptions!$C$8,E109,E110,E111)</f>
        <v>0.41</v>
      </c>
      <c r="F112" s="34">
        <f>CHOOSE(Assumptions!$C$8,F109,F110,F111)</f>
        <v>0.42</v>
      </c>
      <c r="G112" s="34">
        <f>CHOOSE(Assumptions!$C$8,G109,G110,G111)</f>
        <v>0.425</v>
      </c>
      <c r="H112" s="34">
        <f>CHOOSE(Assumptions!$C$8,H109,H110,H111)</f>
        <v>0.43</v>
      </c>
      <c r="I112" s="34">
        <f>CHOOSE(Assumptions!$C$8,I109,I110,I111)</f>
        <v>0.43</v>
      </c>
      <c r="J112" s="33">
        <f>AVERAGE(E112:I112)</f>
        <v>0.42299999999999993</v>
      </c>
    </row>
    <row r="114" ht="40" customHeight="1">
      <c r="B114" s="3" t="inlineStr">
        <is>
          <t>D&amp;A % revenue</t>
        </is>
      </c>
      <c r="C114" s="10" t="inlineStr">
        <is>
          <t>Bear</t>
        </is>
      </c>
      <c r="D114" s="11" t="inlineStr">
        <is>
          <t>%</t>
        </is>
      </c>
      <c r="E114" s="19" t="n">
        <v>0.028</v>
      </c>
      <c r="F114" s="19" t="n">
        <v>0.03</v>
      </c>
      <c r="G114" s="19" t="n">
        <v>0.03</v>
      </c>
      <c r="H114" s="19" t="n">
        <v>0.03</v>
      </c>
      <c r="I114" s="19" t="n">
        <v>0.03</v>
      </c>
      <c r="J114" s="33">
        <f>AVERAGE(E114:I114)</f>
        <v>0.029599999999999998</v>
      </c>
      <c r="K114" s="28" t="inlineStr">
        <is>
          <t>FY21-25 range 2.5-3.3%, FY25 3.1%. The new capacity build-out lifts the absolute D&amp;A level.</t>
        </is>
      </c>
    </row>
    <row r="115">
      <c r="B115" s="10" t="inlineStr"/>
      <c r="C115" s="10" t="inlineStr">
        <is>
          <t>Base</t>
        </is>
      </c>
      <c r="D115" s="11" t="inlineStr">
        <is>
          <t>%</t>
        </is>
      </c>
      <c r="E115" s="19" t="n">
        <v>0.028</v>
      </c>
      <c r="F115" s="19" t="n">
        <v>0.028</v>
      </c>
      <c r="G115" s="19" t="n">
        <v>0.028</v>
      </c>
      <c r="H115" s="19" t="n">
        <v>0.028</v>
      </c>
      <c r="I115" s="19" t="n">
        <v>0.028</v>
      </c>
      <c r="J115" s="33">
        <f>AVERAGE(E115:I115)</f>
        <v>0.028000000000000004</v>
      </c>
    </row>
    <row r="116">
      <c r="B116" s="10" t="inlineStr"/>
      <c r="C116" s="10" t="inlineStr">
        <is>
          <t>Bull</t>
        </is>
      </c>
      <c r="D116" s="11" t="inlineStr">
        <is>
          <t>%</t>
        </is>
      </c>
      <c r="E116" s="19" t="n">
        <v>0.028</v>
      </c>
      <c r="F116" s="19" t="n">
        <v>0.027</v>
      </c>
      <c r="G116" s="19" t="n">
        <v>0.027</v>
      </c>
      <c r="H116" s="19" t="n">
        <v>0.027</v>
      </c>
      <c r="I116" s="19" t="n">
        <v>0.027</v>
      </c>
      <c r="J116" s="33">
        <f>AVERAGE(E116:I116)</f>
        <v>0.027200000000000002</v>
      </c>
    </row>
    <row r="117">
      <c r="B117" s="10" t="inlineStr"/>
      <c r="C117" s="3" t="inlineStr">
        <is>
          <t>Live ►</t>
        </is>
      </c>
      <c r="D117" s="11" t="inlineStr">
        <is>
          <t>%</t>
        </is>
      </c>
      <c r="E117" s="34">
        <f>CHOOSE(Assumptions!$C$8,E114,E115,E116)</f>
        <v>0.028</v>
      </c>
      <c r="F117" s="34">
        <f>CHOOSE(Assumptions!$C$8,F114,F115,F116)</f>
        <v>0.028</v>
      </c>
      <c r="G117" s="34">
        <f>CHOOSE(Assumptions!$C$8,G114,G115,G116)</f>
        <v>0.028</v>
      </c>
      <c r="H117" s="34">
        <f>CHOOSE(Assumptions!$C$8,H114,H115,H116)</f>
        <v>0.028</v>
      </c>
      <c r="I117" s="34">
        <f>CHOOSE(Assumptions!$C$8,I114,I115,I116)</f>
        <v>0.028</v>
      </c>
      <c r="J117" s="33">
        <f>AVERAGE(E117:I117)</f>
        <v>0.028000000000000004</v>
      </c>
    </row>
    <row r="119" ht="40" customHeight="1">
      <c r="B119" s="3" t="inlineStr">
        <is>
          <t>CapEx % revenue</t>
        </is>
      </c>
      <c r="C119" s="10" t="inlineStr">
        <is>
          <t>Bear</t>
        </is>
      </c>
      <c r="D119" s="11" t="inlineStr">
        <is>
          <t>%</t>
        </is>
      </c>
      <c r="E119" s="19" t="n">
        <v>0.06</v>
      </c>
      <c r="F119" s="19" t="n">
        <v>0.065</v>
      </c>
      <c r="G119" s="19" t="n">
        <v>0.065</v>
      </c>
      <c r="H119" s="19" t="n">
        <v>0.06</v>
      </c>
      <c r="I119" s="19" t="n">
        <v>0.06</v>
      </c>
      <c r="J119" s="33">
        <f>AVERAGE(E119:I119)</f>
        <v>0.062</v>
      </c>
      <c r="K119" s="28" t="inlineStr">
        <is>
          <t>FY21-25 average 6.4% (peak 8.0% in FY23 capacity expansion, 5.0% in FY25). Base 5.5% as capex normalises but EUV/High-NA capacity is still added.</t>
        </is>
      </c>
    </row>
    <row r="120">
      <c r="B120" s="10" t="inlineStr"/>
      <c r="C120" s="10" t="inlineStr">
        <is>
          <t>Base</t>
        </is>
      </c>
      <c r="D120" s="11" t="inlineStr">
        <is>
          <t>%</t>
        </is>
      </c>
      <c r="E120" s="19" t="n">
        <v>0.055</v>
      </c>
      <c r="F120" s="19" t="n">
        <v>0.055</v>
      </c>
      <c r="G120" s="19" t="n">
        <v>0.055</v>
      </c>
      <c r="H120" s="19" t="n">
        <v>0.055</v>
      </c>
      <c r="I120" s="19" t="n">
        <v>0.055</v>
      </c>
      <c r="J120" s="33">
        <f>AVERAGE(E120:I120)</f>
        <v>0.05500000000000001</v>
      </c>
    </row>
    <row r="121">
      <c r="B121" s="10" t="inlineStr"/>
      <c r="C121" s="10" t="inlineStr">
        <is>
          <t>Bull</t>
        </is>
      </c>
      <c r="D121" s="11" t="inlineStr">
        <is>
          <t>%</t>
        </is>
      </c>
      <c r="E121" s="19" t="n">
        <v>0.05</v>
      </c>
      <c r="F121" s="19" t="n">
        <v>0.05</v>
      </c>
      <c r="G121" s="19" t="n">
        <v>0.05</v>
      </c>
      <c r="H121" s="19" t="n">
        <v>0.05</v>
      </c>
      <c r="I121" s="19" t="n">
        <v>0.05</v>
      </c>
      <c r="J121" s="33">
        <f>AVERAGE(E121:I121)</f>
        <v>0.05</v>
      </c>
    </row>
    <row r="122">
      <c r="B122" s="10" t="inlineStr"/>
      <c r="C122" s="3" t="inlineStr">
        <is>
          <t>Live ►</t>
        </is>
      </c>
      <c r="D122" s="11" t="inlineStr">
        <is>
          <t>%</t>
        </is>
      </c>
      <c r="E122" s="34">
        <f>CHOOSE(Assumptions!$C$8,E119,E120,E121)</f>
        <v>0.055</v>
      </c>
      <c r="F122" s="34">
        <f>CHOOSE(Assumptions!$C$8,F119,F120,F121)</f>
        <v>0.055</v>
      </c>
      <c r="G122" s="34">
        <f>CHOOSE(Assumptions!$C$8,G119,G120,G121)</f>
        <v>0.055</v>
      </c>
      <c r="H122" s="34">
        <f>CHOOSE(Assumptions!$C$8,H119,H120,H121)</f>
        <v>0.055</v>
      </c>
      <c r="I122" s="34">
        <f>CHOOSE(Assumptions!$C$8,I119,I120,I121)</f>
        <v>0.055</v>
      </c>
      <c r="J122" s="33">
        <f>AVERAGE(E122:I122)</f>
        <v>0.05500000000000001</v>
      </c>
    </row>
    <row r="124" ht="40" customHeight="1">
      <c r="B124" s="3" t="inlineStr">
        <is>
          <t>Net working capital % revenue</t>
        </is>
      </c>
      <c r="C124" s="10" t="inlineStr">
        <is>
          <t>Bear</t>
        </is>
      </c>
      <c r="D124" s="11" t="inlineStr">
        <is>
          <t>%</t>
        </is>
      </c>
      <c r="E124" s="19" t="n">
        <v>-0.08</v>
      </c>
      <c r="F124" s="19" t="n">
        <v>-0.06</v>
      </c>
      <c r="G124" s="19" t="n">
        <v>-0.06</v>
      </c>
      <c r="H124" s="19" t="n">
        <v>-0.06</v>
      </c>
      <c r="I124" s="19" t="n">
        <v>-0.06</v>
      </c>
      <c r="J124" s="33">
        <f>AVERAGE(E124:I124)</f>
        <v>-0.064</v>
      </c>
      <c r="K124" s="28" t="inlineStr">
        <is>
          <t>ASML runs negative NWC because customers pay EUV down payments (contract liabilities). It was -27% in FY25 but fell to about -7% of LTM sales by Jun-26 as down payments were consumed. Base normalises to -12%, below the FY21-25 average.</t>
        </is>
      </c>
    </row>
    <row r="125">
      <c r="B125" s="10" t="inlineStr"/>
      <c r="C125" s="10" t="inlineStr">
        <is>
          <t>Base</t>
        </is>
      </c>
      <c r="D125" s="11" t="inlineStr">
        <is>
          <t>%</t>
        </is>
      </c>
      <c r="E125" s="19" t="n">
        <v>-0.12</v>
      </c>
      <c r="F125" s="19" t="n">
        <v>-0.12</v>
      </c>
      <c r="G125" s="19" t="n">
        <v>-0.12</v>
      </c>
      <c r="H125" s="19" t="n">
        <v>-0.12</v>
      </c>
      <c r="I125" s="19" t="n">
        <v>-0.12</v>
      </c>
      <c r="J125" s="33">
        <f>AVERAGE(E125:I125)</f>
        <v>-0.12</v>
      </c>
    </row>
    <row r="126">
      <c r="B126" s="10" t="inlineStr"/>
      <c r="C126" s="10" t="inlineStr">
        <is>
          <t>Bull</t>
        </is>
      </c>
      <c r="D126" s="11" t="inlineStr">
        <is>
          <t>%</t>
        </is>
      </c>
      <c r="E126" s="19" t="n">
        <v>-0.15</v>
      </c>
      <c r="F126" s="19" t="n">
        <v>-0.15</v>
      </c>
      <c r="G126" s="19" t="n">
        <v>-0.15</v>
      </c>
      <c r="H126" s="19" t="n">
        <v>-0.15</v>
      </c>
      <c r="I126" s="19" t="n">
        <v>-0.15</v>
      </c>
      <c r="J126" s="33">
        <f>AVERAGE(E126:I126)</f>
        <v>-0.15</v>
      </c>
    </row>
    <row r="127">
      <c r="B127" s="10" t="inlineStr"/>
      <c r="C127" s="3" t="inlineStr">
        <is>
          <t>Live ►</t>
        </is>
      </c>
      <c r="D127" s="11" t="inlineStr">
        <is>
          <t>%</t>
        </is>
      </c>
      <c r="E127" s="34">
        <f>CHOOSE(Assumptions!$C$8,E124,E125,E126)</f>
        <v>-0.12</v>
      </c>
      <c r="F127" s="34">
        <f>CHOOSE(Assumptions!$C$8,F124,F125,F126)</f>
        <v>-0.12</v>
      </c>
      <c r="G127" s="34">
        <f>CHOOSE(Assumptions!$C$8,G124,G125,G126)</f>
        <v>-0.12</v>
      </c>
      <c r="H127" s="34">
        <f>CHOOSE(Assumptions!$C$8,H124,H125,H126)</f>
        <v>-0.12</v>
      </c>
      <c r="I127" s="34">
        <f>CHOOSE(Assumptions!$C$8,I124,I125,I126)</f>
        <v>-0.12</v>
      </c>
      <c r="J127" s="33">
        <f>AVERAGE(E127:I127)</f>
        <v>-0.12</v>
      </c>
    </row>
    <row r="129" ht="40" customHeight="1">
      <c r="B129" s="3" t="inlineStr">
        <is>
          <t>Tax rate on EBIT</t>
        </is>
      </c>
      <c r="C129" s="10" t="inlineStr">
        <is>
          <t>Bear</t>
        </is>
      </c>
      <c r="D129" s="11" t="inlineStr">
        <is>
          <t>%</t>
        </is>
      </c>
      <c r="E129" s="19" t="n">
        <v>0.18</v>
      </c>
      <c r="F129" s="19" t="n">
        <v>0.18</v>
      </c>
      <c r="G129" s="19" t="n">
        <v>0.18</v>
      </c>
      <c r="H129" s="19" t="n">
        <v>0.18</v>
      </c>
      <c r="I129" s="19" t="n">
        <v>0.18</v>
      </c>
      <c r="J129" s="33">
        <f>AVERAGE(E129:I129)</f>
        <v>0.18</v>
      </c>
      <c r="K129" s="28" t="inlineStr">
        <is>
          <t>Effective tax rate FY21-25 15.0-18.6% (Dutch innovation box), FY25 17.7%. Pillar Two 15% minimum is not binding.</t>
        </is>
      </c>
    </row>
    <row r="130">
      <c r="B130" s="10" t="inlineStr"/>
      <c r="C130" s="10" t="inlineStr">
        <is>
          <t>Base</t>
        </is>
      </c>
      <c r="D130" s="11" t="inlineStr">
        <is>
          <t>%</t>
        </is>
      </c>
      <c r="E130" s="19" t="n">
        <v>0.175</v>
      </c>
      <c r="F130" s="19" t="n">
        <v>0.175</v>
      </c>
      <c r="G130" s="19" t="n">
        <v>0.175</v>
      </c>
      <c r="H130" s="19" t="n">
        <v>0.175</v>
      </c>
      <c r="I130" s="19" t="n">
        <v>0.175</v>
      </c>
      <c r="J130" s="33">
        <f>AVERAGE(E130:I130)</f>
        <v>0.175</v>
      </c>
    </row>
    <row r="131">
      <c r="B131" s="10" t="inlineStr"/>
      <c r="C131" s="10" t="inlineStr">
        <is>
          <t>Bull</t>
        </is>
      </c>
      <c r="D131" s="11" t="inlineStr">
        <is>
          <t>%</t>
        </is>
      </c>
      <c r="E131" s="19" t="n">
        <v>0.17</v>
      </c>
      <c r="F131" s="19" t="n">
        <v>0.17</v>
      </c>
      <c r="G131" s="19" t="n">
        <v>0.17</v>
      </c>
      <c r="H131" s="19" t="n">
        <v>0.17</v>
      </c>
      <c r="I131" s="19" t="n">
        <v>0.17</v>
      </c>
      <c r="J131" s="33">
        <f>AVERAGE(E131:I131)</f>
        <v>0.17</v>
      </c>
    </row>
    <row r="132">
      <c r="B132" s="10" t="inlineStr"/>
      <c r="C132" s="3" t="inlineStr">
        <is>
          <t>Live ►</t>
        </is>
      </c>
      <c r="D132" s="11" t="inlineStr">
        <is>
          <t>%</t>
        </is>
      </c>
      <c r="E132" s="34">
        <f>CHOOSE(Assumptions!$C$8,E129,E130,E131)</f>
        <v>0.175</v>
      </c>
      <c r="F132" s="34">
        <f>CHOOSE(Assumptions!$C$8,F129,F130,F131)</f>
        <v>0.175</v>
      </c>
      <c r="G132" s="34">
        <f>CHOOSE(Assumptions!$C$8,G129,G130,G131)</f>
        <v>0.175</v>
      </c>
      <c r="H132" s="34">
        <f>CHOOSE(Assumptions!$C$8,H129,H130,H131)</f>
        <v>0.175</v>
      </c>
      <c r="I132" s="34">
        <f>CHOOSE(Assumptions!$C$8,I129,I130,I131)</f>
        <v>0.175</v>
      </c>
      <c r="J132" s="33">
        <f>AVERAGE(E132:I132)</f>
        <v>0.175</v>
      </c>
    </row>
    <row r="134" ht="40" customHeight="1">
      <c r="B134" s="3" t="inlineStr">
        <is>
          <t>Terminal growth rate</t>
        </is>
      </c>
      <c r="C134" s="10" t="inlineStr">
        <is>
          <t>Bear</t>
        </is>
      </c>
      <c r="D134" s="11" t="inlineStr">
        <is>
          <t>%</t>
        </is>
      </c>
      <c r="E134" s="22" t="n">
        <v>0.02</v>
      </c>
      <c r="K134" s="28" t="inlineStr">
        <is>
          <t>Long-run nominal growth: euro-area inflation ~2% + modest real growth in semiconductor content. It is kept below the risk-free rate (3.5%) and nominal GDP.</t>
        </is>
      </c>
    </row>
    <row r="135">
      <c r="B135" s="10" t="inlineStr"/>
      <c r="C135" s="10" t="inlineStr">
        <is>
          <t>Base</t>
        </is>
      </c>
      <c r="D135" s="11" t="inlineStr">
        <is>
          <t>%</t>
        </is>
      </c>
      <c r="E135" s="22" t="n">
        <v>0.025</v>
      </c>
    </row>
    <row r="136">
      <c r="B136" s="10" t="inlineStr"/>
      <c r="C136" s="10" t="inlineStr">
        <is>
          <t>Bull</t>
        </is>
      </c>
      <c r="D136" s="11" t="inlineStr">
        <is>
          <t>%</t>
        </is>
      </c>
      <c r="E136" s="22" t="n">
        <v>0.03</v>
      </c>
    </row>
    <row r="137">
      <c r="B137" s="10" t="inlineStr"/>
      <c r="C137" s="3" t="inlineStr">
        <is>
          <t>Live ►</t>
        </is>
      </c>
      <c r="D137" s="11" t="inlineStr">
        <is>
          <t>%</t>
        </is>
      </c>
      <c r="E137" s="35">
        <f>CHOOSE(Assumptions!$C$8,E134,E135,E136)</f>
        <v>0.025</v>
      </c>
    </row>
    <row r="139" ht="40" customHeight="1">
      <c r="B139" s="3" t="inlineStr">
        <is>
          <t>Exit EV/EBITDA multiple (on FY35 EBITDA)</t>
        </is>
      </c>
      <c r="C139" s="10" t="inlineStr">
        <is>
          <t>Bear</t>
        </is>
      </c>
      <c r="D139" s="11" t="inlineStr">
        <is>
          <t>x</t>
        </is>
      </c>
      <c r="E139" s="36" t="n">
        <v>15</v>
      </c>
      <c r="K139" s="28" t="inlineStr">
        <is>
          <t>Applied to FY35 EBITDA, after growth has faded to the terminal rate. ASML's FY21-25 average year-end EV/EBITDA is ~30x and peers trade at ~42x trailing today (Comps tab), but both reflect a high-growth phase. A mature 2035 ASML deserves a discount: 20x is a third below its own average.</t>
        </is>
      </c>
    </row>
    <row r="140">
      <c r="B140" s="10" t="inlineStr"/>
      <c r="C140" s="10" t="inlineStr">
        <is>
          <t>Base</t>
        </is>
      </c>
      <c r="D140" s="11" t="inlineStr">
        <is>
          <t>x</t>
        </is>
      </c>
      <c r="E140" s="36" t="n">
        <v>20</v>
      </c>
    </row>
    <row r="141">
      <c r="B141" s="10" t="inlineStr"/>
      <c r="C141" s="10" t="inlineStr">
        <is>
          <t>Bull</t>
        </is>
      </c>
      <c r="D141" s="11" t="inlineStr">
        <is>
          <t>x</t>
        </is>
      </c>
      <c r="E141" s="36" t="n">
        <v>25</v>
      </c>
    </row>
    <row r="142">
      <c r="B142" s="10" t="inlineStr"/>
      <c r="C142" s="3" t="inlineStr">
        <is>
          <t>Live ►</t>
        </is>
      </c>
      <c r="D142" s="11" t="inlineStr">
        <is>
          <t>x</t>
        </is>
      </c>
      <c r="E142" s="37">
        <f>CHOOSE(Assumptions!$C$8,E139,E140,E141)</f>
        <v>20.0</v>
      </c>
    </row>
    <row r="144" ht="40" customHeight="1">
      <c r="B144" s="3" t="inlineStr">
        <is>
          <t>WACC adjustment vs. CAPM WACC</t>
        </is>
      </c>
      <c r="C144" s="10" t="inlineStr">
        <is>
          <t>Bear</t>
        </is>
      </c>
      <c r="D144" s="11" t="inlineStr">
        <is>
          <t>%</t>
        </is>
      </c>
      <c r="E144" s="22" t="n">
        <v>0.005</v>
      </c>
      <c r="K144" s="28" t="inlineStr">
        <is>
          <t>Bear prices extra risk for export-control and cyclical exposure. Bull assumes a lower risk premium for a structural AI capex cycle.</t>
        </is>
      </c>
    </row>
    <row r="145">
      <c r="B145" s="10" t="inlineStr"/>
      <c r="C145" s="10" t="inlineStr">
        <is>
          <t>Base</t>
        </is>
      </c>
      <c r="D145" s="11" t="inlineStr">
        <is>
          <t>%</t>
        </is>
      </c>
      <c r="E145" s="22" t="n">
        <v>0</v>
      </c>
    </row>
    <row r="146">
      <c r="B146" s="10" t="inlineStr"/>
      <c r="C146" s="10" t="inlineStr">
        <is>
          <t>Bull</t>
        </is>
      </c>
      <c r="D146" s="11" t="inlineStr">
        <is>
          <t>%</t>
        </is>
      </c>
      <c r="E146" s="22" t="n">
        <v>-0.005</v>
      </c>
    </row>
    <row r="147">
      <c r="B147" s="10" t="inlineStr"/>
      <c r="C147" s="3" t="inlineStr">
        <is>
          <t>Live ►</t>
        </is>
      </c>
      <c r="D147" s="11" t="inlineStr">
        <is>
          <t>%</t>
        </is>
      </c>
      <c r="E147" s="35">
        <f>CHOOSE(Assumptions!$C$8,E144,E145,E146)</f>
        <v>0.0</v>
      </c>
    </row>
    <row r="150">
      <c r="B150" s="14" t="inlineStr">
        <is>
          <t>Scenario narrative</t>
        </is>
      </c>
      <c r="C150" s="15" t="n"/>
      <c r="D150" s="15" t="n"/>
      <c r="E150" s="15" t="n"/>
      <c r="F150" s="15" t="n"/>
      <c r="G150" s="15" t="n"/>
      <c r="H150" s="15" t="n"/>
      <c r="I150" s="15" t="n"/>
      <c r="J150" s="15" t="n"/>
      <c r="K150" s="15" t="n"/>
    </row>
    <row r="151">
      <c r="B151" s="3" t="inlineStr">
        <is>
          <t>Bear</t>
        </is>
      </c>
      <c r="C151" s="11" t="inlineStr">
        <is>
          <t>AI capex digestion in 2027-28 coincides with tighter China export controls (DUV immersion and servicing). Customers push out EUV orders, the down-payment float shrinks and margins compress as fixed R&amp;D is held.</t>
        </is>
      </c>
    </row>
    <row r="152">
      <c r="B152" s="3" t="inlineStr">
        <is>
          <t>Base</t>
        </is>
      </c>
      <c r="C152" s="11" t="inlineStr">
        <is>
          <t>2026 guidance is delivered, the backlog converts, and EUV/High-NA adoption in logic and DRAM lift revenue to about EUR 64bn by 2030 (88 low-NA and 22 High-NA EUV systems) with margins at the 2030 target band.</t>
        </is>
      </c>
    </row>
    <row r="153">
      <c r="B153" s="3" t="inlineStr">
        <is>
          <t>Bull</t>
        </is>
      </c>
      <c r="C153" s="11" t="inlineStr">
        <is>
          <t>A sustained AI-driven leading-edge build-out plus faster High-NA adoption push EUV shipments to 110 low-NA and 32 High-NA systems and revenue to about EUR 81bn, with gross margin at 60% and services scaling on the installed base.</t>
        </is>
      </c>
    </row>
  </sheetData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tabColor rgb="007F7F7F"/>
    <outlinePr summaryBelow="1" summaryRight="1"/>
    <pageSetUpPr fitToPage="1"/>
  </sheetPr>
  <dimension ref="B1:J72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2" customWidth="1" min="9" max="9"/>
    <col width="70" customWidth="1" min="10" max="10"/>
  </cols>
  <sheetData>
    <row r="1">
      <c r="B1" s="12" t="inlineStr">
        <is>
          <t>Historical Financials</t>
        </is>
      </c>
    </row>
    <row r="2">
      <c r="B2" s="13" t="inlineStr">
        <is>
          <t>Reported US GAAP figures (blue) from ASML 20-F filings via SEC XBRL [S1, S2, S3]; ratios and FCF are calculated (black). EUR millions.</t>
        </is>
      </c>
    </row>
    <row r="4">
      <c r="B4" s="38" t="inlineStr">
        <is>
          <t>EUR m, fiscal year ending 31 Dec</t>
        </is>
      </c>
      <c r="C4" s="39" t="inlineStr">
        <is>
          <t>FY20A (ref)</t>
        </is>
      </c>
      <c r="D4" s="39" t="inlineStr">
        <is>
          <t>FY21A</t>
        </is>
      </c>
      <c r="E4" s="39" t="inlineStr">
        <is>
          <t>FY22A</t>
        </is>
      </c>
      <c r="F4" s="39" t="inlineStr">
        <is>
          <t>FY23A</t>
        </is>
      </c>
      <c r="G4" s="39" t="inlineStr">
        <is>
          <t>FY24A</t>
        </is>
      </c>
      <c r="H4" s="39" t="inlineStr">
        <is>
          <t>FY25A</t>
        </is>
      </c>
      <c r="I4" s="39" t="inlineStr">
        <is>
          <t>Type</t>
        </is>
      </c>
      <c r="J4" s="39" t="inlineStr">
        <is>
          <t>Source / definition</t>
        </is>
      </c>
    </row>
    <row r="5">
      <c r="B5" s="14" t="inlineStr">
        <is>
          <t>Reported (US GAAP) and market</t>
        </is>
      </c>
      <c r="C5" s="15" t="n"/>
      <c r="D5" s="15" t="n"/>
      <c r="E5" s="15" t="n"/>
      <c r="F5" s="15" t="n"/>
      <c r="G5" s="15" t="n"/>
      <c r="H5" s="15" t="n"/>
      <c r="I5" s="15" t="n"/>
      <c r="J5" s="15" t="n"/>
    </row>
    <row r="6">
      <c r="B6" s="10" t="inlineStr">
        <is>
          <t>Total net sales</t>
        </is>
      </c>
      <c r="C6" s="21" t="n">
        <v>13978.5</v>
      </c>
      <c r="D6" s="21" t="n">
        <v>18611</v>
      </c>
      <c r="E6" s="21" t="n">
        <v>21173.4</v>
      </c>
      <c r="F6" s="21" t="n">
        <v>27558.5</v>
      </c>
      <c r="G6" s="21" t="n">
        <v>28262.9</v>
      </c>
      <c r="H6" s="21" t="n">
        <v>32667.3</v>
      </c>
      <c r="I6" s="11" t="inlineStr">
        <is>
          <t>REPORTED</t>
        </is>
      </c>
      <c r="J6" s="11" t="inlineStr">
        <is>
          <t>[S2] XBRL 20-F</t>
        </is>
      </c>
    </row>
    <row r="7">
      <c r="B7" s="10" t="inlineStr">
        <is>
          <t>Cost of sales</t>
        </is>
      </c>
      <c r="D7" s="21" t="n">
        <v>8802</v>
      </c>
      <c r="E7" s="21" t="n">
        <v>10473.3</v>
      </c>
      <c r="F7" s="21" t="n">
        <v>13422.4</v>
      </c>
      <c r="G7" s="21" t="n">
        <v>13770.9</v>
      </c>
      <c r="H7" s="21" t="n">
        <v>15409.3</v>
      </c>
      <c r="I7" s="11" t="inlineStr">
        <is>
          <t>REPORTED</t>
        </is>
      </c>
      <c r="J7" s="11" t="inlineStr">
        <is>
          <t>[S2] XBRL 20-F</t>
        </is>
      </c>
    </row>
    <row r="8">
      <c r="B8" s="10" t="inlineStr">
        <is>
          <t>Gross profit</t>
        </is>
      </c>
      <c r="D8" s="21" t="n">
        <v>9809</v>
      </c>
      <c r="E8" s="21" t="n">
        <v>10700.1</v>
      </c>
      <c r="F8" s="21" t="n">
        <v>14136.1</v>
      </c>
      <c r="G8" s="21" t="n">
        <v>14492</v>
      </c>
      <c r="H8" s="21" t="n">
        <v>17258</v>
      </c>
      <c r="I8" s="11" t="inlineStr">
        <is>
          <t>REPORTED</t>
        </is>
      </c>
      <c r="J8" s="11" t="inlineStr">
        <is>
          <t>[S2] XBRL 20-F</t>
        </is>
      </c>
    </row>
    <row r="9">
      <c r="B9" s="10" t="inlineStr">
        <is>
          <t>Research &amp; development</t>
        </is>
      </c>
      <c r="D9" s="21" t="n">
        <v>2547</v>
      </c>
      <c r="E9" s="21" t="n">
        <v>3253.5</v>
      </c>
      <c r="F9" s="21" t="n">
        <v>3980.6</v>
      </c>
      <c r="G9" s="21" t="n">
        <v>4303.7</v>
      </c>
      <c r="H9" s="21" t="n">
        <v>4698.8</v>
      </c>
      <c r="I9" s="11" t="inlineStr">
        <is>
          <t>REPORTED</t>
        </is>
      </c>
      <c r="J9" s="11" t="inlineStr">
        <is>
          <t>[S2] XBRL 20-F</t>
        </is>
      </c>
    </row>
    <row r="10">
      <c r="B10" s="10" t="inlineStr">
        <is>
          <t>Selling, general &amp; administrative</t>
        </is>
      </c>
      <c r="D10" s="21" t="n">
        <v>725.6</v>
      </c>
      <c r="E10" s="21" t="n">
        <v>945.9</v>
      </c>
      <c r="F10" s="21" t="n">
        <v>1113.2</v>
      </c>
      <c r="G10" s="21" t="n">
        <v>1165.7</v>
      </c>
      <c r="H10" s="21" t="n">
        <v>1257.8</v>
      </c>
      <c r="I10" s="11" t="inlineStr">
        <is>
          <t>REPORTED</t>
        </is>
      </c>
      <c r="J10" s="11" t="inlineStr">
        <is>
          <t>[S2] XBRL 20-F</t>
        </is>
      </c>
    </row>
    <row r="11">
      <c r="B11" s="10" t="inlineStr">
        <is>
          <t>Income from operations (EBIT)</t>
        </is>
      </c>
      <c r="D11" s="21" t="n">
        <v>6750.1</v>
      </c>
      <c r="E11" s="21" t="n">
        <v>6500.7</v>
      </c>
      <c r="F11" s="21" t="n">
        <v>9042.299999999999</v>
      </c>
      <c r="G11" s="21" t="n">
        <v>9022.6</v>
      </c>
      <c r="H11" s="21" t="n">
        <v>11301.4</v>
      </c>
      <c r="I11" s="11" t="inlineStr">
        <is>
          <t>REPORTED</t>
        </is>
      </c>
      <c r="J11" s="11" t="inlineStr">
        <is>
          <t>[S2] XBRL 20-F</t>
        </is>
      </c>
    </row>
    <row r="12">
      <c r="B12" s="10" t="inlineStr">
        <is>
          <t>Depreciation &amp; amortization (cash flow statement)</t>
        </is>
      </c>
      <c r="D12" s="21" t="n">
        <v>471</v>
      </c>
      <c r="E12" s="21" t="n">
        <v>583.6</v>
      </c>
      <c r="F12" s="21" t="n">
        <v>739.8</v>
      </c>
      <c r="G12" s="21" t="n">
        <v>918.6</v>
      </c>
      <c r="H12" s="21" t="n">
        <v>1025.9</v>
      </c>
      <c r="I12" s="11" t="inlineStr">
        <is>
          <t>REPORTED</t>
        </is>
      </c>
      <c r="J12" s="11" t="inlineStr">
        <is>
          <t>[S2] XBRL 20-F</t>
        </is>
      </c>
    </row>
    <row r="13">
      <c r="B13" s="10" t="inlineStr">
        <is>
          <t>Income before income taxes</t>
        </is>
      </c>
      <c r="D13" s="21" t="n">
        <v>6705.5</v>
      </c>
      <c r="E13" s="21" t="n">
        <v>6456.1</v>
      </c>
      <c r="F13" s="21" t="n">
        <v>9083.5</v>
      </c>
      <c r="G13" s="21" t="n">
        <v>9042.4</v>
      </c>
      <c r="H13" s="21" t="n">
        <v>11406.1</v>
      </c>
      <c r="I13" s="11" t="inlineStr">
        <is>
          <t>REPORTED</t>
        </is>
      </c>
      <c r="J13" s="11" t="inlineStr">
        <is>
          <t>[S2] XBRL 20-F</t>
        </is>
      </c>
    </row>
    <row r="14">
      <c r="B14" s="10" t="inlineStr">
        <is>
          <t>Income tax expense</t>
        </is>
      </c>
      <c r="D14" s="21" t="n">
        <v>1021.4</v>
      </c>
      <c r="E14" s="21" t="n">
        <v>969.9</v>
      </c>
      <c r="F14" s="21" t="n">
        <v>1435.8</v>
      </c>
      <c r="G14" s="21" t="n">
        <v>1680.6</v>
      </c>
      <c r="H14" s="21" t="n">
        <v>2013.4</v>
      </c>
      <c r="I14" s="11" t="inlineStr">
        <is>
          <t>REPORTED</t>
        </is>
      </c>
      <c r="J14" s="11" t="inlineStr">
        <is>
          <t>[S2] XBRL 20-F</t>
        </is>
      </c>
    </row>
    <row r="15">
      <c r="B15" s="10" t="inlineStr">
        <is>
          <t>Net income</t>
        </is>
      </c>
      <c r="D15" s="21" t="n">
        <v>5883.2</v>
      </c>
      <c r="E15" s="21" t="n">
        <v>5624.2</v>
      </c>
      <c r="F15" s="21" t="n">
        <v>7839</v>
      </c>
      <c r="G15" s="21" t="n">
        <v>7571.6</v>
      </c>
      <c r="H15" s="21" t="n">
        <v>9609.4</v>
      </c>
      <c r="I15" s="11" t="inlineStr">
        <is>
          <t>REPORTED</t>
        </is>
      </c>
      <c r="J15" s="11" t="inlineStr">
        <is>
          <t>[S2] XBRL 20-F</t>
        </is>
      </c>
    </row>
    <row r="16">
      <c r="B16" s="10" t="inlineStr">
        <is>
          <t>Purchase of PP&amp;E</t>
        </is>
      </c>
      <c r="D16" s="21" t="n">
        <v>900.7</v>
      </c>
      <c r="E16" s="21" t="n">
        <v>1281.8</v>
      </c>
      <c r="F16" s="21" t="n">
        <v>2155.6</v>
      </c>
      <c r="G16" s="21" t="n">
        <v>2067.2</v>
      </c>
      <c r="H16" s="21" t="n">
        <v>1573.6</v>
      </c>
      <c r="I16" s="11" t="inlineStr">
        <is>
          <t>REPORTED</t>
        </is>
      </c>
      <c r="J16" s="11" t="inlineStr">
        <is>
          <t>[S2] XBRL 20-F</t>
        </is>
      </c>
    </row>
    <row r="17">
      <c r="B17" s="10" t="inlineStr">
        <is>
          <t>Purchase of intangible assets</t>
        </is>
      </c>
      <c r="D17" s="21" t="n">
        <v>39.6</v>
      </c>
      <c r="E17" s="21" t="n">
        <v>37.5</v>
      </c>
      <c r="F17" s="21" t="n">
        <v>40.6</v>
      </c>
      <c r="G17" s="21" t="n">
        <v>15.9</v>
      </c>
      <c r="H17" s="21" t="n">
        <v>57.6</v>
      </c>
      <c r="I17" s="11" t="inlineStr">
        <is>
          <t>REPORTED</t>
        </is>
      </c>
      <c r="J17" s="11" t="inlineStr">
        <is>
          <t>[S2] XBRL 20-F</t>
        </is>
      </c>
    </row>
    <row r="18">
      <c r="B18" s="10" t="inlineStr">
        <is>
          <t>Net cash from operating activities</t>
        </is>
      </c>
      <c r="D18" s="21" t="n">
        <v>10845.8</v>
      </c>
      <c r="E18" s="21" t="n">
        <v>8486.799999999999</v>
      </c>
      <c r="F18" s="21" t="n">
        <v>5443.4</v>
      </c>
      <c r="G18" s="21" t="n">
        <v>11166.2</v>
      </c>
      <c r="H18" s="21" t="n">
        <v>12658.5</v>
      </c>
      <c r="I18" s="11" t="inlineStr">
        <is>
          <t>REPORTED</t>
        </is>
      </c>
      <c r="J18" s="11" t="inlineStr">
        <is>
          <t>[S2] XBRL 20-F</t>
        </is>
      </c>
    </row>
    <row r="19">
      <c r="B19" s="10" t="inlineStr">
        <is>
          <t>Cash &amp; cash equivalents</t>
        </is>
      </c>
      <c r="C19" s="21" t="n">
        <v>6049.4</v>
      </c>
      <c r="D19" s="21" t="n">
        <v>6951.8</v>
      </c>
      <c r="E19" s="21" t="n">
        <v>7268.3</v>
      </c>
      <c r="F19" s="21" t="n">
        <v>7004.7</v>
      </c>
      <c r="G19" s="21" t="n">
        <v>12735.9</v>
      </c>
      <c r="H19" s="21" t="n">
        <v>12916</v>
      </c>
      <c r="I19" s="11" t="inlineStr">
        <is>
          <t>REPORTED</t>
        </is>
      </c>
      <c r="J19" s="11" t="inlineStr">
        <is>
          <t>[S2] XBRL 20-F</t>
        </is>
      </c>
    </row>
    <row r="20">
      <c r="B20" s="10" t="inlineStr">
        <is>
          <t>Short-term investments</t>
        </is>
      </c>
      <c r="C20" s="21" t="n">
        <v>1302.2</v>
      </c>
      <c r="D20" s="21" t="n">
        <v>638.5</v>
      </c>
      <c r="E20" s="21" t="n">
        <v>107.7</v>
      </c>
      <c r="F20" s="21" t="n">
        <v>5.4</v>
      </c>
      <c r="G20" s="21" t="n">
        <v>5.4</v>
      </c>
      <c r="H20" s="21" t="n">
        <v>405.9</v>
      </c>
      <c r="I20" s="11" t="inlineStr">
        <is>
          <t>REPORTED</t>
        </is>
      </c>
      <c r="J20" s="11" t="inlineStr">
        <is>
          <t>[S2] XBRL 20-F</t>
        </is>
      </c>
    </row>
    <row r="21">
      <c r="B21" s="10" t="inlineStr">
        <is>
          <t>Total current assets</t>
        </is>
      </c>
      <c r="C21" s="21" t="n">
        <v>15930</v>
      </c>
      <c r="D21" s="21" t="n">
        <v>18190.2</v>
      </c>
      <c r="E21" s="21" t="n">
        <v>23064.9</v>
      </c>
      <c r="F21" s="21" t="n">
        <v>24393.9</v>
      </c>
      <c r="G21" s="21" t="n">
        <v>30737.4</v>
      </c>
      <c r="H21" s="21" t="n">
        <v>30616.1</v>
      </c>
      <c r="I21" s="11" t="inlineStr">
        <is>
          <t>REPORTED</t>
        </is>
      </c>
      <c r="J21" s="11" t="inlineStr">
        <is>
          <t>[S2] XBRL 20-F</t>
        </is>
      </c>
    </row>
    <row r="22">
      <c r="B22" s="10" t="inlineStr">
        <is>
          <t>Loans receivable, current (non-operating)</t>
        </is>
      </c>
      <c r="C22" s="21" t="n">
        <v>0</v>
      </c>
      <c r="D22" s="21" t="n">
        <v>0</v>
      </c>
      <c r="E22" s="21" t="n">
        <v>0</v>
      </c>
      <c r="F22" s="21" t="n">
        <v>0</v>
      </c>
      <c r="G22" s="21" t="n">
        <v>0</v>
      </c>
      <c r="H22" s="21" t="n">
        <v>266.1</v>
      </c>
      <c r="I22" s="11" t="inlineStr">
        <is>
          <t>REPORTED</t>
        </is>
      </c>
      <c r="J22" s="11" t="inlineStr">
        <is>
          <t>[S2] XBRL 20-F; new line in FY25 [S3]</t>
        </is>
      </c>
    </row>
    <row r="23">
      <c r="B23" s="10" t="inlineStr">
        <is>
          <t>Total current liabilities</t>
        </is>
      </c>
      <c r="C23" s="21" t="n">
        <v>6603.5</v>
      </c>
      <c r="D23" s="21" t="n">
        <v>12298</v>
      </c>
      <c r="E23" s="21" t="n">
        <v>17983.6</v>
      </c>
      <c r="F23" s="21" t="n">
        <v>16274.7</v>
      </c>
      <c r="G23" s="21" t="n">
        <v>20051.4</v>
      </c>
      <c r="H23" s="21" t="n">
        <v>24263.9</v>
      </c>
      <c r="I23" s="11" t="inlineStr">
        <is>
          <t>REPORTED</t>
        </is>
      </c>
      <c r="J23" s="11" t="inlineStr">
        <is>
          <t>[S2] XBRL 20-F</t>
        </is>
      </c>
    </row>
    <row r="24">
      <c r="B24" s="10" t="inlineStr">
        <is>
          <t>Current debt incl. commercial paper</t>
        </is>
      </c>
      <c r="C24" s="21" t="n">
        <v>15.4</v>
      </c>
      <c r="D24" s="21" t="n">
        <v>509.1</v>
      </c>
      <c r="E24" s="21" t="n">
        <v>746.2</v>
      </c>
      <c r="F24" s="21" t="n">
        <v>0.1</v>
      </c>
      <c r="G24" s="21" t="n">
        <v>1010.3</v>
      </c>
      <c r="H24" s="21" t="n">
        <v>1681.9</v>
      </c>
      <c r="I24" s="11" t="inlineStr">
        <is>
          <t>REPORTED</t>
        </is>
      </c>
      <c r="J24" s="11" t="inlineStr">
        <is>
          <t>[S2] XBRL 20-F; FY25 current debt = bonds 990.2 + ECP 691.7 [S1]</t>
        </is>
      </c>
    </row>
    <row r="25">
      <c r="B25" s="10" t="inlineStr">
        <is>
          <t>Long-term debt</t>
        </is>
      </c>
      <c r="D25" s="21" t="n">
        <v>4075</v>
      </c>
      <c r="E25" s="21" t="n">
        <v>3514.2</v>
      </c>
      <c r="F25" s="21" t="n">
        <v>4631.5</v>
      </c>
      <c r="G25" s="21" t="n">
        <v>3677.3</v>
      </c>
      <c r="H25" s="21" t="n">
        <v>2709</v>
      </c>
      <c r="I25" s="11" t="inlineStr">
        <is>
          <t>REPORTED</t>
        </is>
      </c>
      <c r="J25" s="11" t="inlineStr">
        <is>
          <t>[S2] XBRL 20-F</t>
        </is>
      </c>
    </row>
    <row r="26">
      <c r="B26" s="10" t="inlineStr">
        <is>
          <t>Contract liabilities, non-current</t>
        </is>
      </c>
      <c r="C26" s="21" t="n">
        <v>1639.9</v>
      </c>
      <c r="D26" s="21" t="n">
        <v>3225.7</v>
      </c>
      <c r="E26" s="21" t="n">
        <v>5269.9</v>
      </c>
      <c r="F26" s="21" t="n">
        <v>4825.5</v>
      </c>
      <c r="G26" s="21" t="n">
        <v>5625.4</v>
      </c>
      <c r="H26" s="21" t="n">
        <v>3366.3</v>
      </c>
      <c r="I26" s="11" t="inlineStr">
        <is>
          <t>REPORTED</t>
        </is>
      </c>
      <c r="J26" s="11" t="inlineStr">
        <is>
          <t>[S2] XBRL 20-F</t>
        </is>
      </c>
    </row>
    <row r="27">
      <c r="B27" s="10" t="inlineStr">
        <is>
          <t>Diluted weighted avg. shares (m)</t>
        </is>
      </c>
      <c r="D27" s="21" t="n">
        <v>410.4</v>
      </c>
      <c r="E27" s="21" t="n">
        <v>398</v>
      </c>
      <c r="F27" s="21" t="n">
        <v>394.1</v>
      </c>
      <c r="G27" s="21" t="n">
        <v>393.6</v>
      </c>
      <c r="H27" s="21" t="n">
        <v>388.9</v>
      </c>
      <c r="I27" s="11" t="inlineStr">
        <is>
          <t>REPORTED</t>
        </is>
      </c>
      <c r="J27" s="11" t="inlineStr">
        <is>
          <t>[S2] XBRL 20-F</t>
        </is>
      </c>
    </row>
    <row r="28">
      <c r="B28" s="10" t="inlineStr">
        <is>
          <t>Year-end share price, Euronext (EUR)</t>
        </is>
      </c>
      <c r="D28" s="20" t="n">
        <v>706.7</v>
      </c>
      <c r="E28" s="20" t="n">
        <v>503.8</v>
      </c>
      <c r="F28" s="20" t="n">
        <v>681.7</v>
      </c>
      <c r="G28" s="20" t="n">
        <v>678.7</v>
      </c>
      <c r="H28" s="20" t="n">
        <v>921.4</v>
      </c>
      <c r="I28" s="11" t="inlineStr">
        <is>
          <t>MARKET</t>
        </is>
      </c>
      <c r="J28" s="11" t="inlineStr">
        <is>
          <t>[S9] Yahoo Finance</t>
        </is>
      </c>
    </row>
    <row r="30">
      <c r="B30" s="14" t="inlineStr">
        <is>
          <t>Calculated</t>
        </is>
      </c>
      <c r="C30" s="15" t="n"/>
      <c r="D30" s="15" t="n"/>
      <c r="E30" s="15" t="n"/>
      <c r="F30" s="15" t="n"/>
      <c r="G30" s="15" t="n"/>
      <c r="H30" s="15" t="n"/>
      <c r="I30" s="15" t="n"/>
      <c r="J30" s="15" t="n"/>
    </row>
    <row r="31">
      <c r="B31" s="10" t="inlineStr">
        <is>
          <t>Revenue growth %</t>
        </is>
      </c>
      <c r="D31" s="33">
        <f>D6/C6-1</f>
        <v>0.33140179561469396</v>
      </c>
      <c r="E31" s="33">
        <f>E6/D6-1</f>
        <v>0.137682016012036</v>
      </c>
      <c r="F31" s="33">
        <f>F6/E6-1</f>
        <v>0.30156233765007023</v>
      </c>
      <c r="G31" s="33">
        <f>G6/F6-1</f>
        <v>0.02556017199775029</v>
      </c>
      <c r="H31" s="33">
        <f>H6/G6-1</f>
        <v>0.15583680372502462</v>
      </c>
      <c r="I31" s="11" t="inlineStr">
        <is>
          <t>CALCULATED</t>
        </is>
      </c>
      <c r="J31" s="11" t="inlineStr">
        <is>
          <t>Revenue / prior-year revenue - 1</t>
        </is>
      </c>
    </row>
    <row r="32">
      <c r="B32" s="10" t="inlineStr">
        <is>
          <t>Gross margin %</t>
        </is>
      </c>
      <c r="D32" s="33">
        <f>D8/D6</f>
        <v>0.5270538928590618</v>
      </c>
      <c r="E32" s="33">
        <f>E8/E6</f>
        <v>0.5053557765876052</v>
      </c>
      <c r="F32" s="33">
        <f>F8/F6</f>
        <v>0.5129488179690477</v>
      </c>
      <c r="G32" s="33">
        <f>G8/G6</f>
        <v>0.512757006535069</v>
      </c>
      <c r="H32" s="33">
        <f>H8/H6</f>
        <v>0.5282958799778372</v>
      </c>
      <c r="I32" s="11" t="inlineStr">
        <is>
          <t>CALCULATED</t>
        </is>
      </c>
      <c r="J32" s="11" t="inlineStr">
        <is>
          <t>Gross profit / revenue</t>
        </is>
      </c>
    </row>
    <row r="33">
      <c r="B33" s="3" t="inlineStr">
        <is>
          <t>EBITDA</t>
        </is>
      </c>
      <c r="C33" s="40" t="n"/>
      <c r="D33" s="41">
        <f>D11+D12</f>
        <v>7221.1</v>
      </c>
      <c r="E33" s="41">
        <f>E11+E12</f>
        <v>7084.3</v>
      </c>
      <c r="F33" s="41">
        <f>F11+F12</f>
        <v>9782.099999999999</v>
      </c>
      <c r="G33" s="41">
        <f>G11+G12</f>
        <v>9941.2</v>
      </c>
      <c r="H33" s="41">
        <f>H11+H12</f>
        <v>12327.3</v>
      </c>
      <c r="I33" s="11" t="inlineStr">
        <is>
          <t>CALCULATED</t>
        </is>
      </c>
      <c r="J33" s="11" t="inlineStr">
        <is>
          <t>EBIT + D&amp;A</t>
        </is>
      </c>
    </row>
    <row r="34">
      <c r="B34" s="10" t="inlineStr">
        <is>
          <t>EBITDA margin %</t>
        </is>
      </c>
      <c r="D34" s="33">
        <f>D33/D6</f>
        <v>0.38800171941325023</v>
      </c>
      <c r="E34" s="33">
        <f>E33/E6</f>
        <v>0.3345849036999254</v>
      </c>
      <c r="F34" s="33">
        <f>F33/F6</f>
        <v>0.3549576355752308</v>
      </c>
      <c r="G34" s="33">
        <f>G33/G6</f>
        <v>0.35174026727618185</v>
      </c>
      <c r="H34" s="33">
        <f>H33/H6</f>
        <v>0.3773590103865333</v>
      </c>
      <c r="I34" s="11" t="inlineStr">
        <is>
          <t>CALCULATED</t>
        </is>
      </c>
      <c r="J34" s="11" t="inlineStr">
        <is>
          <t>EBITDA / revenue</t>
        </is>
      </c>
    </row>
    <row r="35">
      <c r="B35" s="10" t="inlineStr">
        <is>
          <t>EBIT margin %</t>
        </is>
      </c>
      <c r="D35" s="33">
        <f>D11/D6</f>
        <v>0.3626941056364516</v>
      </c>
      <c r="E35" s="33">
        <f>E11/E6</f>
        <v>0.3070220181926379</v>
      </c>
      <c r="F35" s="33">
        <f>F11/F6</f>
        <v>0.3281129234174574</v>
      </c>
      <c r="G35" s="33">
        <f>G11/G6</f>
        <v>0.31923829472559434</v>
      </c>
      <c r="H35" s="33">
        <f>H11/H6</f>
        <v>0.34595451720833986</v>
      </c>
      <c r="I35" s="11" t="inlineStr">
        <is>
          <t>CALCULATED</t>
        </is>
      </c>
      <c r="J35" s="11" t="inlineStr">
        <is>
          <t>EBIT / revenue</t>
        </is>
      </c>
    </row>
    <row r="36">
      <c r="B36" s="10" t="inlineStr">
        <is>
          <t>D&amp;A % revenue</t>
        </is>
      </c>
      <c r="D36" s="33">
        <f>D12/D6</f>
        <v>0.025307613776798667</v>
      </c>
      <c r="E36" s="33">
        <f>E12/E6</f>
        <v>0.027562885507287443</v>
      </c>
      <c r="F36" s="33">
        <f>F12/F6</f>
        <v>0.02684471215777346</v>
      </c>
      <c r="G36" s="33">
        <f>G12/G6</f>
        <v>0.03250197255058752</v>
      </c>
      <c r="H36" s="33">
        <f>H12/H6</f>
        <v>0.031404493178193486</v>
      </c>
      <c r="I36" s="11" t="inlineStr">
        <is>
          <t>CALCULATED</t>
        </is>
      </c>
      <c r="J36" s="11" t="inlineStr">
        <is>
          <t>D&amp;A / revenue</t>
        </is>
      </c>
    </row>
    <row r="37">
      <c r="B37" s="10" t="inlineStr">
        <is>
          <t>R&amp;D % revenue</t>
        </is>
      </c>
      <c r="D37" s="33">
        <f>D9/D6</f>
        <v>0.13685454838536348</v>
      </c>
      <c r="E37" s="33">
        <f>E9/E6</f>
        <v>0.15365978066819688</v>
      </c>
      <c r="F37" s="33">
        <f>F9/F6</f>
        <v>0.14444182375673567</v>
      </c>
      <c r="G37" s="33">
        <f>G9/G6</f>
        <v>0.1522738289418283</v>
      </c>
      <c r="H37" s="33">
        <f>H9/H6</f>
        <v>0.14383802763007658</v>
      </c>
      <c r="I37" s="11" t="inlineStr">
        <is>
          <t>CALCULATED</t>
        </is>
      </c>
      <c r="J37" s="11" t="inlineStr">
        <is>
          <t>R&amp;D / revenue</t>
        </is>
      </c>
    </row>
    <row r="38">
      <c r="B38" s="10" t="inlineStr">
        <is>
          <t>Effective tax rate</t>
        </is>
      </c>
      <c r="D38" s="33">
        <f>D14/D13</f>
        <v>0.15232272015509657</v>
      </c>
      <c r="E38" s="33">
        <f>E14/E13</f>
        <v>0.1502300150245504</v>
      </c>
      <c r="F38" s="33">
        <f>F14/F13</f>
        <v>0.15806682446193648</v>
      </c>
      <c r="G38" s="33">
        <f>G14/G13</f>
        <v>0.18585773688401308</v>
      </c>
      <c r="H38" s="33">
        <f>H14/H13</f>
        <v>0.17651958162737483</v>
      </c>
      <c r="I38" s="11" t="inlineStr">
        <is>
          <t>CALCULATED</t>
        </is>
      </c>
      <c r="J38" s="11" t="inlineStr">
        <is>
          <t>Income tax expense / income before taxes</t>
        </is>
      </c>
    </row>
    <row r="39">
      <c r="B39" s="10" t="inlineStr">
        <is>
          <t>Taxes on EBIT</t>
        </is>
      </c>
      <c r="D39" s="42">
        <f>D11*D38</f>
        <v>1028.1935933189175</v>
      </c>
      <c r="E39" s="42">
        <f>E11*E38</f>
        <v>976.6002586700948</v>
      </c>
      <c r="F39" s="42">
        <f>F11*F38</f>
        <v>1429.287646832168</v>
      </c>
      <c r="G39" s="42">
        <f>G11*G38</f>
        <v>1676.9200168096966</v>
      </c>
      <c r="H39" s="42">
        <f>H11*H38</f>
        <v>1994.9183998036137</v>
      </c>
      <c r="I39" s="11" t="inlineStr">
        <is>
          <t>CALCULATED</t>
        </is>
      </c>
      <c r="J39" s="11" t="inlineStr">
        <is>
          <t>EBIT x effective tax rate (unlevered taxes)</t>
        </is>
      </c>
    </row>
    <row r="40">
      <c r="B40" s="3" t="inlineStr">
        <is>
          <t>NOPAT</t>
        </is>
      </c>
      <c r="C40" s="40" t="n"/>
      <c r="D40" s="41">
        <f>D11-D39</f>
        <v>5721.906406681082</v>
      </c>
      <c r="E40" s="41">
        <f>E11-E39</f>
        <v>5524.099741329905</v>
      </c>
      <c r="F40" s="41">
        <f>F11-F39</f>
        <v>7613.012353167831</v>
      </c>
      <c r="G40" s="41">
        <f>G11-G39</f>
        <v>7345.679983190304</v>
      </c>
      <c r="H40" s="41">
        <f>H11-H39</f>
        <v>9306.481600196386</v>
      </c>
      <c r="I40" s="11" t="inlineStr">
        <is>
          <t>CALCULATED</t>
        </is>
      </c>
      <c r="J40" s="11" t="inlineStr">
        <is>
          <t>EBIT - taxes on EBIT</t>
        </is>
      </c>
    </row>
    <row r="41">
      <c r="B41" s="10" t="inlineStr">
        <is>
          <t>Total CapEx (PP&amp;E + intangibles)</t>
        </is>
      </c>
      <c r="D41" s="42">
        <f>D16+D17</f>
        <v>940.3000000000001</v>
      </c>
      <c r="E41" s="42">
        <f>E16+E17</f>
        <v>1319.3</v>
      </c>
      <c r="F41" s="42">
        <f>F16+F17</f>
        <v>2196.2</v>
      </c>
      <c r="G41" s="42">
        <f>G16+G17</f>
        <v>2083.1</v>
      </c>
      <c r="H41" s="42">
        <f>H16+H17</f>
        <v>1631.1999999999998</v>
      </c>
      <c r="I41" s="11" t="inlineStr">
        <is>
          <t>CALCULATED</t>
        </is>
      </c>
      <c r="J41" s="11" t="inlineStr"/>
    </row>
    <row r="42">
      <c r="B42" s="10" t="inlineStr">
        <is>
          <t>CapEx % revenue</t>
        </is>
      </c>
      <c r="D42" s="33">
        <f>D41/D6</f>
        <v>0.050523883724678954</v>
      </c>
      <c r="E42" s="33">
        <f>E41/E6</f>
        <v>0.06230931262810885</v>
      </c>
      <c r="F42" s="33">
        <f>F41/F6</f>
        <v>0.0796922909447176</v>
      </c>
      <c r="G42" s="33">
        <f>G41/G6</f>
        <v>0.07370439693025131</v>
      </c>
      <c r="H42" s="33">
        <f>H41/H6</f>
        <v>0.04993372577470436</v>
      </c>
      <c r="I42" s="11" t="inlineStr">
        <is>
          <t>CALCULATED</t>
        </is>
      </c>
      <c r="J42" s="11" t="inlineStr"/>
    </row>
    <row r="43">
      <c r="B43" s="3" t="inlineStr">
        <is>
          <t>Operating net working capital</t>
        </is>
      </c>
      <c r="C43" s="43">
        <f>(C21-C19-C20-C22)-(C23-C24)-C26</f>
        <v>350.3999999999992</v>
      </c>
      <c r="D43" s="43">
        <f>(D21-D19-D20-D22)-(D23-D24)-D26</f>
        <v>-4414.699999999998</v>
      </c>
      <c r="E43" s="43">
        <f>(E21-E19-E20-E22)-(E23-E24)-E26</f>
        <v>-6818.399999999996</v>
      </c>
      <c r="F43" s="43">
        <f>(F21-F19-F20-F22)-(F23-F24)-F26</f>
        <v>-3716.300000000001</v>
      </c>
      <c r="G43" s="43">
        <f>(G21-G19-G20-G22)-(G23-G24)-G26</f>
        <v>-6670.400000000003</v>
      </c>
      <c r="H43" s="43">
        <f>(H21-H19-H20-H22)-(H23-H24)-H26</f>
        <v>-8920.2</v>
      </c>
      <c r="I43" s="11" t="inlineStr">
        <is>
          <t>CALCULATED</t>
        </is>
      </c>
      <c r="J43" s="11" t="inlineStr">
        <is>
          <t>(Current assets - cash - STI - current loans rec.) - (current liabilities - current debt) - non-current contract liabilities</t>
        </is>
      </c>
    </row>
    <row r="44">
      <c r="B44" s="10" t="inlineStr">
        <is>
          <t>NWC % revenue</t>
        </is>
      </c>
      <c r="D44" s="33">
        <f>D43/D6</f>
        <v>-0.23720917736822297</v>
      </c>
      <c r="E44" s="33">
        <f>E43/E6</f>
        <v>-0.322026693870611</v>
      </c>
      <c r="F44" s="33">
        <f>F43/F6</f>
        <v>-0.1348513162907996</v>
      </c>
      <c r="G44" s="33">
        <f>G43/G6</f>
        <v>-0.23601258186527224</v>
      </c>
      <c r="H44" s="33">
        <f>H43/H6</f>
        <v>-0.27306205287856666</v>
      </c>
      <c r="I44" s="11" t="inlineStr">
        <is>
          <t>CALCULATED</t>
        </is>
      </c>
      <c r="J44" s="11" t="inlineStr">
        <is>
          <t>Negative = customers pre-fund ASML via EUV down payments</t>
        </is>
      </c>
    </row>
    <row r="45">
      <c r="B45" s="10" t="inlineStr">
        <is>
          <t>Change in NWC (increase = cash outflow)</t>
        </is>
      </c>
      <c r="D45" s="42">
        <f>D43-C43</f>
        <v>-4765.099999999997</v>
      </c>
      <c r="E45" s="42">
        <f>E43-D43</f>
        <v>-2403.699999999998</v>
      </c>
      <c r="F45" s="42">
        <f>F43-E43</f>
        <v>3102.099999999995</v>
      </c>
      <c r="G45" s="42">
        <f>G43-F43</f>
        <v>-2954.100000000002</v>
      </c>
      <c r="H45" s="42">
        <f>H43-G43</f>
        <v>-2249.7999999999975</v>
      </c>
      <c r="I45" s="11" t="inlineStr">
        <is>
          <t>CALCULATED</t>
        </is>
      </c>
      <c r="J45" s="11" t="inlineStr"/>
    </row>
    <row r="46">
      <c r="B46" s="3" t="inlineStr">
        <is>
          <t>Unlevered free cash flow</t>
        </is>
      </c>
      <c r="C46" s="40" t="n"/>
      <c r="D46" s="41">
        <f>D40+D12-D41-D45</f>
        <v>10017.706406681078</v>
      </c>
      <c r="E46" s="41">
        <f>E40+E12-E41-E45</f>
        <v>7192.099741329903</v>
      </c>
      <c r="F46" s="41">
        <f>F40+F12-F41-F45</f>
        <v>3054.5123531678355</v>
      </c>
      <c r="G46" s="41">
        <f>G40+G12-G41-G45</f>
        <v>9135.279983190305</v>
      </c>
      <c r="H46" s="41">
        <f>H40+H12-H41-H45</f>
        <v>10950.981600196383</v>
      </c>
      <c r="I46" s="11" t="inlineStr">
        <is>
          <t>CALCULATED</t>
        </is>
      </c>
      <c r="J46" s="11" t="inlineStr">
        <is>
          <t>NOPAT + D&amp;A - CapEx - change in NWC</t>
        </is>
      </c>
    </row>
    <row r="47">
      <c r="B47" s="10" t="inlineStr">
        <is>
          <t>UFCF margin %</t>
        </is>
      </c>
      <c r="D47" s="33">
        <f>D46/D6</f>
        <v>0.5382680353920304</v>
      </c>
      <c r="E47" s="33">
        <f>E46/E6</f>
        <v>0.3396761852763327</v>
      </c>
      <c r="F47" s="33">
        <f>F46/F6</f>
        <v>0.1108373951110487</v>
      </c>
      <c r="G47" s="33">
        <f>G46/G6</f>
        <v>0.32322514615238723</v>
      </c>
      <c r="H47" s="33">
        <f>H46/H6</f>
        <v>0.3352276313070374</v>
      </c>
      <c r="I47" s="11" t="inlineStr">
        <is>
          <t>CALCULATED</t>
        </is>
      </c>
      <c r="J47" s="11" t="inlineStr"/>
    </row>
    <row r="48">
      <c r="B48" s="10" t="inlineStr">
        <is>
          <t>UFCF / NOPAT (cash conversion)</t>
        </is>
      </c>
      <c r="D48" s="33">
        <f>D46/D40</f>
        <v>1.7507637655492025</v>
      </c>
      <c r="E48" s="33">
        <f>E46/E40</f>
        <v>1.3019496529942152</v>
      </c>
      <c r="F48" s="33">
        <f>F46/F40</f>
        <v>0.4012225662417099</v>
      </c>
      <c r="G48" s="33">
        <f>G46/G40</f>
        <v>1.2436261862884421</v>
      </c>
      <c r="H48" s="33">
        <f>H46/H40</f>
        <v>1.1767048032379168</v>
      </c>
      <c r="I48" s="11" t="inlineStr">
        <is>
          <t>CALCULATED</t>
        </is>
      </c>
      <c r="J48" s="11" t="inlineStr"/>
    </row>
    <row r="49">
      <c r="B49" s="10" t="inlineStr">
        <is>
          <t>Total debt</t>
        </is>
      </c>
      <c r="D49" s="42">
        <f>D24+D25</f>
        <v>4584.1</v>
      </c>
      <c r="E49" s="42">
        <f>E24+E25</f>
        <v>4260.4</v>
      </c>
      <c r="F49" s="42">
        <f>F24+F25</f>
        <v>4631.6</v>
      </c>
      <c r="G49" s="42">
        <f>G24+G25</f>
        <v>4687.6</v>
      </c>
      <c r="H49" s="42">
        <f>H24+H25</f>
        <v>4390.9</v>
      </c>
      <c r="I49" s="11" t="inlineStr">
        <is>
          <t>CALCULATED</t>
        </is>
      </c>
      <c r="J49" s="11" t="inlineStr"/>
    </row>
    <row r="50">
      <c r="B50" s="10" t="inlineStr">
        <is>
          <t>Net cash (cash + STI - debt)</t>
        </is>
      </c>
      <c r="D50" s="42">
        <f>D19+D20-D49</f>
        <v>3006.2</v>
      </c>
      <c r="E50" s="42">
        <f>E19+E20-E49</f>
        <v>3115.6000000000004</v>
      </c>
      <c r="F50" s="42">
        <f>F19+F20-F49</f>
        <v>2378.499999999999</v>
      </c>
      <c r="G50" s="42">
        <f>G19+G20-G49</f>
        <v>8053.699999999999</v>
      </c>
      <c r="H50" s="42">
        <f>H19+H20-H49</f>
        <v>8931.0</v>
      </c>
      <c r="I50" s="11" t="inlineStr">
        <is>
          <t>CALCULATED</t>
        </is>
      </c>
      <c r="J50" s="11" t="inlineStr"/>
    </row>
    <row r="51">
      <c r="B51" s="10" t="inlineStr">
        <is>
          <t>Year-end market capitalisation</t>
        </is>
      </c>
      <c r="D51" s="42">
        <f>D28*D27</f>
        <v>290029.68</v>
      </c>
      <c r="E51" s="42">
        <f>E28*E27</f>
        <v>200512.4</v>
      </c>
      <c r="F51" s="42">
        <f>F28*F27</f>
        <v>268657.97000000003</v>
      </c>
      <c r="G51" s="42">
        <f>G28*G27</f>
        <v>267136.32</v>
      </c>
      <c r="H51" s="42">
        <f>H28*H27</f>
        <v>358332.45999999996</v>
      </c>
      <c r="I51" s="11" t="inlineStr">
        <is>
          <t>CALCULATED</t>
        </is>
      </c>
      <c r="J51" s="11" t="inlineStr">
        <is>
          <t>Year-end price x diluted shares</t>
        </is>
      </c>
    </row>
    <row r="52">
      <c r="B52" s="10" t="inlineStr">
        <is>
          <t>Year-end enterprise value</t>
        </is>
      </c>
      <c r="D52" s="42">
        <f>D51-D50</f>
        <v>287023.48</v>
      </c>
      <c r="E52" s="42">
        <f>E51-E50</f>
        <v>197396.8</v>
      </c>
      <c r="F52" s="42">
        <f>F51-F50</f>
        <v>266279.47000000003</v>
      </c>
      <c r="G52" s="42">
        <f>G51-G50</f>
        <v>259082.62</v>
      </c>
      <c r="H52" s="42">
        <f>H51-H50</f>
        <v>349401.45999999996</v>
      </c>
      <c r="I52" s="11" t="inlineStr">
        <is>
          <t>CALCULATED</t>
        </is>
      </c>
      <c r="J52" s="11" t="inlineStr">
        <is>
          <t>Market cap - net cash</t>
        </is>
      </c>
    </row>
    <row r="53">
      <c r="B53" s="3" t="inlineStr">
        <is>
          <t>EV / EBITDA (year-end)</t>
        </is>
      </c>
      <c r="D53" s="44">
        <f>D52/D33</f>
        <v>39.74788882580216</v>
      </c>
      <c r="E53" s="44">
        <f>E52/E33</f>
        <v>27.86398091554564</v>
      </c>
      <c r="F53" s="44">
        <f>F52/F33</f>
        <v>27.221094652477493</v>
      </c>
      <c r="G53" s="44">
        <f>G52/G33</f>
        <v>26.061503641411498</v>
      </c>
      <c r="H53" s="44">
        <f>H52/H33</f>
        <v>28.343713546356458</v>
      </c>
      <c r="I53" s="11" t="inlineStr">
        <is>
          <t>CALCULATED</t>
        </is>
      </c>
      <c r="J53" s="11" t="inlineStr">
        <is>
          <t>Benchmark for the exit multiple</t>
        </is>
      </c>
    </row>
    <row r="54">
      <c r="B54" s="10" t="inlineStr">
        <is>
          <t>Check: gross profit - (sales - COGS)</t>
        </is>
      </c>
      <c r="D54" s="45">
        <f>D8-(D6-D7)</f>
        <v>0.0</v>
      </c>
      <c r="E54" s="45">
        <f>E8-(E6-E7)</f>
        <v>-1.8189894035458565e-12</v>
      </c>
      <c r="F54" s="45">
        <f>F8-(F6-F7)</f>
        <v>0.0</v>
      </c>
      <c r="G54" s="45">
        <f>G8-(G6-G7)</f>
        <v>-1.8189894035458565e-12</v>
      </c>
      <c r="H54" s="45">
        <f>H8-(H6-H7)</f>
        <v>0.0</v>
      </c>
      <c r="I54" s="11" t="inlineStr">
        <is>
          <t>CALCULATED</t>
        </is>
      </c>
      <c r="J54" s="11" t="inlineStr">
        <is>
          <t>Should be 0</t>
        </is>
      </c>
    </row>
    <row r="56">
      <c r="B56" s="14" t="inlineStr">
        <is>
          <t>Summary FY21-FY25</t>
        </is>
      </c>
      <c r="C56" s="15" t="n"/>
      <c r="D56" s="15" t="n"/>
      <c r="E56" s="15" t="n"/>
      <c r="F56" s="15" t="n"/>
      <c r="G56" s="15" t="n"/>
      <c r="H56" s="15" t="n"/>
      <c r="I56" s="15" t="n"/>
      <c r="J56" s="15" t="n"/>
    </row>
    <row r="57">
      <c r="B57" s="10" t="inlineStr">
        <is>
          <t>Revenue CAGR FY20-FY25</t>
        </is>
      </c>
      <c r="C57" s="46">
        <f>(H6/C6)^(1/5)-1</f>
        <v>0.18503324439054114</v>
      </c>
    </row>
    <row r="58">
      <c r="B58" s="10" t="inlineStr">
        <is>
          <t>Average gross margin</t>
        </is>
      </c>
      <c r="C58" s="46">
        <f>AVERAGE(D32:H32)</f>
        <v>0.5172822747857242</v>
      </c>
    </row>
    <row r="59">
      <c r="B59" s="10" t="inlineStr">
        <is>
          <t>Average EBITDA margin</t>
        </is>
      </c>
      <c r="C59" s="46">
        <f>AVERAGE(D34:H34)</f>
        <v>0.3613287072702243</v>
      </c>
    </row>
    <row r="60">
      <c r="B60" s="10" t="inlineStr">
        <is>
          <t>Average effective tax rate</t>
        </is>
      </c>
      <c r="C60" s="46">
        <f>AVERAGE(D38:H38)</f>
        <v>0.16459937563059426</v>
      </c>
    </row>
    <row r="61">
      <c r="B61" s="10" t="inlineStr">
        <is>
          <t>Average CapEx % revenue</t>
        </is>
      </c>
      <c r="C61" s="46">
        <f>AVERAGE(D42:H42)</f>
        <v>0.06323272200049221</v>
      </c>
    </row>
    <row r="62">
      <c r="B62" s="10" t="inlineStr">
        <is>
          <t>Average NWC % revenue</t>
        </is>
      </c>
      <c r="C62" s="46">
        <f>AVERAGE(D44:H44)</f>
        <v>-0.24063236445469452</v>
      </c>
    </row>
    <row r="63">
      <c r="B63" s="10" t="inlineStr">
        <is>
          <t>Average year-end EV / EBITDA</t>
        </is>
      </c>
      <c r="C63" s="44">
        <f>AVERAGE(D53:H53)</f>
        <v>29.84763631631865</v>
      </c>
    </row>
    <row r="64">
      <c r="B64" s="10" t="inlineStr">
        <is>
          <t>Cumulative UFCF FY21-FY25</t>
        </is>
      </c>
      <c r="C64" s="43">
        <f>SUM(D46:H46)</f>
        <v>40350.58008456551</v>
      </c>
    </row>
    <row r="66">
      <c r="B66" s="14" t="inlineStr">
        <is>
          <t>Trend analysis: what matters for the forecast</t>
        </is>
      </c>
      <c r="C66" s="15" t="n"/>
      <c r="D66" s="15" t="n"/>
      <c r="E66" s="15" t="n"/>
      <c r="F66" s="15" t="n"/>
      <c r="G66" s="15" t="n"/>
      <c r="H66" s="15" t="n"/>
      <c r="I66" s="15" t="n"/>
      <c r="J66" s="15" t="n"/>
    </row>
    <row r="67">
      <c r="B67" s="10" t="inlineStr">
        <is>
          <t>1. Growth is strong but cyclical: revenue rose from EUR 18.6bn (FY21) to EUR 32.7bn (FY25), but FY24 grew only 2.6%. The forecast is therefore built from units and prices against stated capacity, not extrapolated.</t>
        </is>
      </c>
    </row>
    <row r="68">
      <c r="B68" s="10" t="inlineStr">
        <is>
          <t>2. Margins expand with EUV mix and scale: gross margin 50.5% (FY22) to 52.8% (FY25); EBITDA margin 33.5% to 37.7%.</t>
        </is>
      </c>
    </row>
    <row r="69">
      <c r="B69" s="10" t="inlineStr">
        <is>
          <t>3. The tax rate is low and stable: ETR 15.0%-18.6% (Dutch innovation box).</t>
        </is>
      </c>
    </row>
    <row r="70">
      <c r="B70" s="10" t="inlineStr">
        <is>
          <t>4. Capex is light but lumpy: 5.0%-8.0% of sales.</t>
        </is>
      </c>
    </row>
    <row r="71">
      <c r="B71" s="10" t="inlineStr">
        <is>
          <t>5. Working capital is the swing factor: NWC is negative (-27% of FY25 sales) because customers prepay EUV systems.</t>
        </is>
      </c>
    </row>
    <row r="72">
      <c r="B72" s="10" t="inlineStr">
        <is>
          <t>6. The market has paid 26-40x year-end EBITDA (average 29.8x): the benchmark for the exit multiple.</t>
        </is>
      </c>
    </row>
  </sheetData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tabColor rgb="002B4BFF"/>
    <outlinePr summaryBelow="1" summaryRight="1"/>
    <pageSetUpPr fitToPage="1"/>
  </sheetPr>
  <dimension ref="B1:J41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4" customWidth="1" min="9" max="9"/>
    <col width="60" customWidth="1" min="10" max="10"/>
  </cols>
  <sheetData>
    <row r="1">
      <c r="B1" s="12" t="inlineStr">
        <is>
          <t>Revenue Build</t>
        </is>
      </c>
    </row>
    <row r="2">
      <c r="B2" s="13" t="inlineStr">
        <is>
          <t>Live scenario. System revenue = units x average selling price (ASP); other segments grow from their FY25 base. EUR millions.</t>
        </is>
      </c>
    </row>
    <row r="4">
      <c r="B4" s="25" t="inlineStr">
        <is>
          <t>EUR m</t>
        </is>
      </c>
      <c r="C4" s="39" t="inlineStr">
        <is>
          <t>FY25A</t>
        </is>
      </c>
      <c r="D4" s="47" t="inlineStr">
        <is>
          <t>FY26E</t>
        </is>
      </c>
      <c r="E4" s="47" t="inlineStr">
        <is>
          <t>FY27E</t>
        </is>
      </c>
      <c r="F4" s="47" t="inlineStr">
        <is>
          <t>FY28E</t>
        </is>
      </c>
      <c r="G4" s="47" t="inlineStr">
        <is>
          <t>FY29E</t>
        </is>
      </c>
      <c r="H4" s="47" t="inlineStr">
        <is>
          <t>FY30E</t>
        </is>
      </c>
    </row>
    <row r="5">
      <c r="B5" s="11" t="inlineStr">
        <is>
          <t>Scenario:</t>
        </is>
      </c>
      <c r="C5" s="3" t="str">
        <f>Assumptions!$C$9</f>
        <v>Base</v>
      </c>
    </row>
    <row r="7">
      <c r="B7" s="14" t="inlineStr">
        <is>
          <t>EUV low-NA (NXE)</t>
        </is>
      </c>
      <c r="C7" s="15" t="n"/>
      <c r="D7" s="15" t="n"/>
      <c r="E7" s="15" t="n"/>
      <c r="F7" s="15" t="n"/>
      <c r="G7" s="15" t="n"/>
      <c r="H7" s="15" t="n"/>
    </row>
    <row r="8">
      <c r="B8" s="10" t="inlineStr">
        <is>
          <t>Systems</t>
        </is>
      </c>
      <c r="C8" s="48">
        <f>Assumptions!$C$41</f>
        <v>44.0</v>
      </c>
      <c r="D8" s="48">
        <f>Assumptions!E61</f>
        <v>65.0</v>
      </c>
      <c r="E8" s="48">
        <f>Assumptions!F61</f>
        <v>75.0</v>
      </c>
      <c r="F8" s="48">
        <f>Assumptions!G61</f>
        <v>82.0</v>
      </c>
      <c r="G8" s="48">
        <f>Assumptions!H61</f>
        <v>86.0</v>
      </c>
      <c r="H8" s="48">
        <f>Assumptions!I61</f>
        <v>88.0</v>
      </c>
    </row>
    <row r="9">
      <c r="B9" s="10" t="inlineStr">
        <is>
          <t>ASP (EUR m)</t>
        </is>
      </c>
      <c r="C9" s="45">
        <f>C10/C8</f>
        <v>237.40454545454543</v>
      </c>
      <c r="D9" s="49">
        <f>Assumptions!E66</f>
        <v>255.0</v>
      </c>
      <c r="E9" s="49">
        <f>Assumptions!F66</f>
        <v>260.0</v>
      </c>
      <c r="F9" s="49">
        <f>Assumptions!G66</f>
        <v>265.0</v>
      </c>
      <c r="G9" s="49">
        <f>Assumptions!H66</f>
        <v>270.0</v>
      </c>
      <c r="H9" s="49">
        <f>Assumptions!I66</f>
        <v>275.0</v>
      </c>
      <c r="J9" s="11" t="inlineStr">
        <is>
          <t>FY25A ASP = reported sales / units</t>
        </is>
      </c>
    </row>
    <row r="10">
      <c r="B10" s="3" t="inlineStr">
        <is>
          <t>Revenue</t>
        </is>
      </c>
      <c r="C10" s="50">
        <f>Assumptions!$C$42</f>
        <v>10445.8</v>
      </c>
      <c r="D10" s="43">
        <f>D8*D9</f>
        <v>16575.0</v>
      </c>
      <c r="E10" s="43">
        <f>E8*E9</f>
        <v>19500.0</v>
      </c>
      <c r="F10" s="43">
        <f>F8*F9</f>
        <v>21730.0</v>
      </c>
      <c r="G10" s="43">
        <f>G8*G9</f>
        <v>23220.0</v>
      </c>
      <c r="H10" s="43">
        <f>H8*H9</f>
        <v>24200.0</v>
      </c>
    </row>
    <row r="12">
      <c r="B12" s="14" t="inlineStr">
        <is>
          <t>EUV High-NA (EXE)</t>
        </is>
      </c>
      <c r="C12" s="15" t="n"/>
      <c r="D12" s="15" t="n"/>
      <c r="E12" s="15" t="n"/>
      <c r="F12" s="15" t="n"/>
      <c r="G12" s="15" t="n"/>
      <c r="H12" s="15" t="n"/>
    </row>
    <row r="13">
      <c r="B13" s="10" t="inlineStr">
        <is>
          <t>Systems</t>
        </is>
      </c>
      <c r="C13" s="48">
        <f>Assumptions!$C$43</f>
        <v>4.0</v>
      </c>
      <c r="D13" s="48">
        <f>Assumptions!E71</f>
        <v>8.0</v>
      </c>
      <c r="E13" s="48">
        <f>Assumptions!F71</f>
        <v>10.0</v>
      </c>
      <c r="F13" s="48">
        <f>Assumptions!G71</f>
        <v>14.0</v>
      </c>
      <c r="G13" s="48">
        <f>Assumptions!H71</f>
        <v>18.0</v>
      </c>
      <c r="H13" s="48">
        <f>Assumptions!I71</f>
        <v>22.0</v>
      </c>
    </row>
    <row r="14">
      <c r="B14" s="10" t="inlineStr">
        <is>
          <t>ASP (EUR m)</t>
        </is>
      </c>
      <c r="C14" s="45">
        <f>C15/C13</f>
        <v>289.225</v>
      </c>
      <c r="D14" s="49">
        <f>Assumptions!E76</f>
        <v>350.0</v>
      </c>
      <c r="E14" s="49">
        <f>Assumptions!F76</f>
        <v>360.0</v>
      </c>
      <c r="F14" s="49">
        <f>Assumptions!G76</f>
        <v>370.0</v>
      </c>
      <c r="G14" s="49">
        <f>Assumptions!H76</f>
        <v>380.0</v>
      </c>
      <c r="H14" s="49">
        <f>Assumptions!I76</f>
        <v>390.0</v>
      </c>
    </row>
    <row r="15">
      <c r="B15" s="3" t="inlineStr">
        <is>
          <t>Revenue</t>
        </is>
      </c>
      <c r="C15" s="50">
        <f>Assumptions!$C$44</f>
        <v>1156.9</v>
      </c>
      <c r="D15" s="43">
        <f>D13*D14</f>
        <v>2800.0</v>
      </c>
      <c r="E15" s="43">
        <f>E13*E14</f>
        <v>3600.0</v>
      </c>
      <c r="F15" s="43">
        <f>F13*F14</f>
        <v>5180.0</v>
      </c>
      <c r="G15" s="43">
        <f>G13*G14</f>
        <v>6840.0</v>
      </c>
      <c r="H15" s="43">
        <f>H13*H14</f>
        <v>8580.0</v>
      </c>
    </row>
    <row r="17">
      <c r="B17" s="14" t="inlineStr">
        <is>
          <t>DUV immersion (ArFi)</t>
        </is>
      </c>
      <c r="C17" s="15" t="n"/>
      <c r="D17" s="15" t="n"/>
      <c r="E17" s="15" t="n"/>
      <c r="F17" s="15" t="n"/>
      <c r="G17" s="15" t="n"/>
      <c r="H17" s="15" t="n"/>
    </row>
    <row r="18">
      <c r="B18" s="10" t="inlineStr">
        <is>
          <t>Systems</t>
        </is>
      </c>
      <c r="C18" s="48">
        <f>Assumptions!$C$45</f>
        <v>131.0</v>
      </c>
      <c r="D18" s="48">
        <f>Assumptions!E81</f>
        <v>130.0</v>
      </c>
      <c r="E18" s="48">
        <f>Assumptions!F81</f>
        <v>145.0</v>
      </c>
      <c r="F18" s="48">
        <f>Assumptions!G81</f>
        <v>150.0</v>
      </c>
      <c r="G18" s="48">
        <f>Assumptions!H81</f>
        <v>145.0</v>
      </c>
      <c r="H18" s="48">
        <f>Assumptions!I81</f>
        <v>140.0</v>
      </c>
    </row>
    <row r="19">
      <c r="B19" s="10" t="inlineStr">
        <is>
          <t>ASP (EUR m)</t>
        </is>
      </c>
      <c r="C19" s="45">
        <f>C20/C18</f>
        <v>78.71297709923664</v>
      </c>
      <c r="D19" s="49">
        <f>Assumptions!E86</f>
        <v>86.0</v>
      </c>
      <c r="E19" s="49">
        <f>Assumptions!F86</f>
        <v>87.0</v>
      </c>
      <c r="F19" s="49">
        <f>Assumptions!G86</f>
        <v>89.0</v>
      </c>
      <c r="G19" s="49">
        <f>Assumptions!H86</f>
        <v>91.0</v>
      </c>
      <c r="H19" s="49">
        <f>Assumptions!I86</f>
        <v>93.0</v>
      </c>
    </row>
    <row r="20">
      <c r="B20" s="3" t="inlineStr">
        <is>
          <t>Revenue</t>
        </is>
      </c>
      <c r="C20" s="50">
        <f>Assumptions!$C$46</f>
        <v>10311.4</v>
      </c>
      <c r="D20" s="43">
        <f>D18*D19</f>
        <v>11180.0</v>
      </c>
      <c r="E20" s="43">
        <f>E18*E19</f>
        <v>12615.0</v>
      </c>
      <c r="F20" s="43">
        <f>F18*F19</f>
        <v>13350.0</v>
      </c>
      <c r="G20" s="43">
        <f>G18*G19</f>
        <v>13195.0</v>
      </c>
      <c r="H20" s="43">
        <f>H18*H19</f>
        <v>13020.0</v>
      </c>
    </row>
    <row r="22">
      <c r="B22" s="14" t="inlineStr">
        <is>
          <t>Other segments</t>
        </is>
      </c>
      <c r="C22" s="15" t="n"/>
      <c r="D22" s="15" t="n"/>
      <c r="E22" s="15" t="n"/>
      <c r="F22" s="15" t="n"/>
      <c r="G22" s="15" t="n"/>
      <c r="H22" s="15" t="n"/>
    </row>
    <row r="23">
      <c r="B23" s="10" t="inlineStr">
        <is>
          <t>Other DUV growth</t>
        </is>
      </c>
      <c r="D23" s="51">
        <f>Assumptions!E91</f>
        <v>0.0</v>
      </c>
      <c r="E23" s="51">
        <f>Assumptions!F91</f>
        <v>0.0</v>
      </c>
      <c r="F23" s="51">
        <f>Assumptions!G91</f>
        <v>0.0</v>
      </c>
      <c r="G23" s="51">
        <f>Assumptions!H91</f>
        <v>0.0</v>
      </c>
      <c r="H23" s="51">
        <f>Assumptions!I91</f>
        <v>0.0</v>
      </c>
    </row>
    <row r="24">
      <c r="B24" s="10" t="inlineStr">
        <is>
          <t>Other DUV revenue</t>
        </is>
      </c>
      <c r="C24" s="50">
        <f>Assumptions!$C$47</f>
        <v>1735.6</v>
      </c>
      <c r="D24" s="42">
        <f>C24*(1+D23)</f>
        <v>1735.6</v>
      </c>
      <c r="E24" s="42">
        <f>D24*(1+E23)</f>
        <v>1735.6</v>
      </c>
      <c r="F24" s="42">
        <f>E24*(1+F23)</f>
        <v>1735.6</v>
      </c>
      <c r="G24" s="42">
        <f>F24*(1+G23)</f>
        <v>1735.6</v>
      </c>
      <c r="H24" s="42">
        <f>G24*(1+H23)</f>
        <v>1735.6</v>
      </c>
    </row>
    <row r="25">
      <c r="B25" s="10" t="inlineStr">
        <is>
          <t>Metrology &amp; inspection growth</t>
        </is>
      </c>
      <c r="D25" s="51">
        <f>Assumptions!E96</f>
        <v>0.2</v>
      </c>
      <c r="E25" s="51">
        <f>Assumptions!F96</f>
        <v>0.1</v>
      </c>
      <c r="F25" s="51">
        <f>Assumptions!G96</f>
        <v>0.08</v>
      </c>
      <c r="G25" s="51">
        <f>Assumptions!H96</f>
        <v>0.06</v>
      </c>
      <c r="H25" s="51">
        <f>Assumptions!I96</f>
        <v>0.05</v>
      </c>
    </row>
    <row r="26">
      <c r="B26" s="10" t="inlineStr">
        <is>
          <t>Metrology &amp; inspection revenue</t>
        </is>
      </c>
      <c r="C26" s="50">
        <f>Assumptions!$C$48</f>
        <v>824.6</v>
      </c>
      <c r="D26" s="42">
        <f>C26*(1+D25)</f>
        <v>989.52</v>
      </c>
      <c r="E26" s="42">
        <f>D26*(1+E25)</f>
        <v>1088.472</v>
      </c>
      <c r="F26" s="42">
        <f>E26*(1+F25)</f>
        <v>1175.54976</v>
      </c>
      <c r="G26" s="42">
        <f>F26*(1+G25)</f>
        <v>1246.0827456000002</v>
      </c>
      <c r="H26" s="42">
        <f>G26*(1+H25)</f>
        <v>1308.3868828800003</v>
      </c>
    </row>
    <row r="27">
      <c r="B27" s="10" t="inlineStr">
        <is>
          <t>Installed base growth</t>
        </is>
      </c>
      <c r="D27" s="51">
        <f>Assumptions!E101</f>
        <v>0.3</v>
      </c>
      <c r="E27" s="51">
        <f>Assumptions!F101</f>
        <v>0.12</v>
      </c>
      <c r="F27" s="51">
        <f>Assumptions!G101</f>
        <v>0.1</v>
      </c>
      <c r="G27" s="51">
        <f>Assumptions!H101</f>
        <v>0.08</v>
      </c>
      <c r="H27" s="51">
        <f>Assumptions!I101</f>
        <v>0.07</v>
      </c>
    </row>
    <row r="28">
      <c r="B28" s="10" t="inlineStr">
        <is>
          <t>Installed base management revenue</t>
        </is>
      </c>
      <c r="C28" s="50">
        <f>Assumptions!$C$49</f>
        <v>8193.0</v>
      </c>
      <c r="D28" s="42">
        <f>C28*(1+D27)</f>
        <v>10650.9</v>
      </c>
      <c r="E28" s="42">
        <f>D28*(1+E27)</f>
        <v>11929.008000000002</v>
      </c>
      <c r="F28" s="42">
        <f>E28*(1+F27)</f>
        <v>13121.908800000003</v>
      </c>
      <c r="G28" s="42">
        <f>F28*(1+G27)</f>
        <v>14171.661504000003</v>
      </c>
      <c r="H28" s="42">
        <f>G28*(1+H27)</f>
        <v>15163.677809280005</v>
      </c>
    </row>
    <row r="30">
      <c r="B30" s="14" t="inlineStr">
        <is>
          <t>Total</t>
        </is>
      </c>
      <c r="C30" s="15" t="n"/>
      <c r="D30" s="15" t="n"/>
      <c r="E30" s="15" t="n"/>
      <c r="F30" s="15" t="n"/>
      <c r="G30" s="15" t="n"/>
      <c r="H30" s="15" t="n"/>
    </row>
    <row r="31">
      <c r="B31" s="3" t="inlineStr">
        <is>
          <t>Net system sales</t>
        </is>
      </c>
      <c r="C31" s="42">
        <f>C10+C15+C20+C24+C26</f>
        <v>24474.299999999996</v>
      </c>
      <c r="D31" s="42">
        <f>D10+D15+D20+D24+D26</f>
        <v>33280.119999999995</v>
      </c>
      <c r="E31" s="42">
        <f>E10+E15+E20+E24+E26</f>
        <v>38539.072</v>
      </c>
      <c r="F31" s="42">
        <f>F10+F15+F20+F24+F26</f>
        <v>43171.14976</v>
      </c>
      <c r="G31" s="42">
        <f>G10+G15+G20+G24+G26</f>
        <v>46236.682745599996</v>
      </c>
      <c r="H31" s="42">
        <f>H10+H15+H20+H24+H26</f>
        <v>48843.986882879995</v>
      </c>
    </row>
    <row r="32">
      <c r="B32" s="3" t="inlineStr">
        <is>
          <t>Total net sales</t>
        </is>
      </c>
      <c r="C32" s="52">
        <f>C31+C28</f>
        <v>32667.299999999996</v>
      </c>
      <c r="D32" s="52">
        <f>D31+D28</f>
        <v>43931.02</v>
      </c>
      <c r="E32" s="52">
        <f>E31+E28</f>
        <v>50468.08</v>
      </c>
      <c r="F32" s="52">
        <f>F31+F28</f>
        <v>56293.058560000005</v>
      </c>
      <c r="G32" s="52">
        <f>G31+G28</f>
        <v>60408.3442496</v>
      </c>
      <c r="H32" s="52">
        <f>H31+H28</f>
        <v>64007.664692160004</v>
      </c>
      <c r="J32" s="11" t="inlineStr">
        <is>
          <t>Feeds Forecast FY26E-FY30E revenue</t>
        </is>
      </c>
    </row>
    <row r="33">
      <c r="B33" s="10" t="inlineStr">
        <is>
          <t>Growth %</t>
        </is>
      </c>
      <c r="C33" s="33">
        <f>C32/Historical!G6-1</f>
        <v>0.1558368037250244</v>
      </c>
      <c r="D33" s="33">
        <f>D32/C32-1</f>
        <v>0.3448010701833333</v>
      </c>
      <c r="E33" s="33">
        <f>E32/D32-1</f>
        <v>0.1488028277057989</v>
      </c>
      <c r="F33" s="33">
        <f>F32/E32-1</f>
        <v>0.11541906408961866</v>
      </c>
      <c r="G33" s="33">
        <f>G32/F32-1</f>
        <v>0.07310467391310271</v>
      </c>
      <c r="H33" s="33">
        <f>H32/G32-1</f>
        <v>0.05958316665141572</v>
      </c>
    </row>
    <row r="34">
      <c r="B34" s="10" t="inlineStr">
        <is>
          <t>EUV share of system sales</t>
        </is>
      </c>
      <c r="C34" s="33">
        <f>(C10+C15)/C31</f>
        <v>0.4740768888180663</v>
      </c>
      <c r="D34" s="33">
        <f>(D10+D15)/D31</f>
        <v>0.58217939118008</v>
      </c>
      <c r="E34" s="33">
        <f>(E10+E15)/E31</f>
        <v>0.5993917030487916</v>
      </c>
      <c r="F34" s="33">
        <f>(F10+F15)/F31</f>
        <v>0.6233329468777159</v>
      </c>
      <c r="G34" s="33">
        <f>(G10+G15)/G31</f>
        <v>0.6501331456971919</v>
      </c>
      <c r="H34" s="33">
        <f>(H10+H15)/H31</f>
        <v>0.6711163869280604</v>
      </c>
    </row>
    <row r="35">
      <c r="B35" s="10" t="inlineStr">
        <is>
          <t>Installed base share of sales</t>
        </is>
      </c>
      <c r="C35" s="33">
        <f>C28/C32</f>
        <v>0.25080125997557196</v>
      </c>
      <c r="D35" s="33">
        <f>D28/D32</f>
        <v>0.24244599829459915</v>
      </c>
      <c r="E35" s="33">
        <f>E28/E32</f>
        <v>0.23636738310631197</v>
      </c>
      <c r="F35" s="33">
        <f>F28/F32</f>
        <v>0.23309994403686565</v>
      </c>
      <c r="G35" s="33">
        <f>G28/G32</f>
        <v>0.23459774771254127</v>
      </c>
      <c r="H35" s="33">
        <f>H28/H32</f>
        <v>0.23690409394263265</v>
      </c>
    </row>
    <row r="37">
      <c r="B37" s="14" t="inlineStr">
        <is>
          <t>Capacity and guidance cross-checks</t>
        </is>
      </c>
      <c r="C37" s="15" t="n"/>
      <c r="D37" s="15" t="n"/>
      <c r="E37" s="15" t="n"/>
      <c r="F37" s="15" t="n"/>
      <c r="G37" s="15" t="n"/>
      <c r="H37" s="15" t="n"/>
    </row>
    <row r="38">
      <c r="B38" s="10" t="inlineStr">
        <is>
          <t>Low-NA EUV capacity (stated, FY26-28)</t>
        </is>
      </c>
      <c r="D38" s="27">
        <f>Assumptions!$C$50</f>
        <v>65.0</v>
      </c>
      <c r="E38" s="27">
        <f>Assumptions!$C$50*(1+Assumptions!$C$52)^1</f>
        <v>84.5</v>
      </c>
      <c r="F38" s="27">
        <f>Assumptions!$C$50*(1+Assumptions!$C$52)^2</f>
        <v>109.85000000000001</v>
      </c>
      <c r="J38" s="11" t="inlineStr">
        <is>
          <t>FY26 stated; FY27 +30% planned; FY28 +30% under investigation [S4]</t>
        </is>
      </c>
    </row>
    <row r="39">
      <c r="B39" s="10" t="inlineStr">
        <is>
          <t>Low-NA EUV utilisation</t>
        </is>
      </c>
      <c r="D39" s="33">
        <f>D8/D38</f>
        <v>1.0</v>
      </c>
      <c r="E39" s="33">
        <f>E8/E38</f>
        <v>0.8875739644970414</v>
      </c>
      <c r="F39" s="33">
        <f>F8/F38</f>
        <v>0.7464724624487937</v>
      </c>
      <c r="J39" s="11" t="inlineStr">
        <is>
          <t>Above 100% would need capacity ASML has not announced</t>
        </is>
      </c>
    </row>
    <row r="40">
      <c r="B40" s="10" t="inlineStr">
        <is>
          <t>DUV immersion capacity (stated, FY26-28)</t>
        </is>
      </c>
      <c r="D40" s="27">
        <f>Assumptions!$C$51</f>
        <v>130.0</v>
      </c>
      <c r="E40" s="27">
        <f>Assumptions!$C$51*(1+Assumptions!$C$52)^1</f>
        <v>169.0</v>
      </c>
      <c r="F40" s="27">
        <f>Assumptions!$C$51*(1+Assumptions!$C$52)^2</f>
        <v>219.70000000000002</v>
      </c>
    </row>
    <row r="41">
      <c r="B41" s="10" t="inlineStr">
        <is>
          <t>DUV immersion utilisation</t>
        </is>
      </c>
      <c r="D41" s="33">
        <f>D18/D40</f>
        <v>1.0</v>
      </c>
      <c r="E41" s="33">
        <f>E18/E40</f>
        <v>0.8579881656804734</v>
      </c>
      <c r="F41" s="33">
        <f>F18/F40</f>
        <v>0.6827492034592626</v>
      </c>
    </row>
  </sheetData>
  <pageMargins left="0.75" right="0.75" top="1" bottom="1" header="0.5" footer="0.5"/>
  <pageSetup orientation="landscape" fitToWidth="1"/>
</worksheet>
</file>

<file path=xl/worksheets/sheet5.xml><?xml version="1.0" encoding="utf-8"?>
<worksheet xmlns="http://schemas.openxmlformats.org/spreadsheetml/2006/main">
  <sheetPr>
    <tabColor rgb="002B4BFF"/>
    <outlinePr summaryBelow="1" summaryRight="1"/>
    <pageSetUpPr fitToPage="1"/>
  </sheetPr>
  <dimension ref="B1:R41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8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52" customWidth="1" min="18" max="18"/>
  </cols>
  <sheetData>
    <row r="1">
      <c r="B1" s="12" t="inlineStr">
        <is>
          <t>Operating Forecast</t>
        </is>
      </c>
    </row>
    <row r="2">
      <c r="B2" s="13" t="inlineStr">
        <is>
          <t>FY21A-FY25A linked from Historical (green); FY26E-FY30E from the revenue build and live drivers; FY31E-FY35E fade period. EUR millions.</t>
        </is>
      </c>
    </row>
    <row r="4">
      <c r="B4" s="25" t="inlineStr">
        <is>
          <t>EUR m</t>
        </is>
      </c>
      <c r="C4" s="39" t="inlineStr">
        <is>
          <t>FY21A</t>
        </is>
      </c>
      <c r="D4" s="39" t="inlineStr">
        <is>
          <t>FY22A</t>
        </is>
      </c>
      <c r="E4" s="39" t="inlineStr">
        <is>
          <t>FY23A</t>
        </is>
      </c>
      <c r="F4" s="39" t="inlineStr">
        <is>
          <t>FY24A</t>
        </is>
      </c>
      <c r="G4" s="39" t="inlineStr">
        <is>
          <t>FY25A</t>
        </is>
      </c>
      <c r="H4" s="47" t="inlineStr">
        <is>
          <t>FY26E</t>
        </is>
      </c>
      <c r="I4" s="47" t="inlineStr">
        <is>
          <t>FY27E</t>
        </is>
      </c>
      <c r="J4" s="47" t="inlineStr">
        <is>
          <t>FY28E</t>
        </is>
      </c>
      <c r="K4" s="47" t="inlineStr">
        <is>
          <t>FY29E</t>
        </is>
      </c>
      <c r="L4" s="47" t="inlineStr">
        <is>
          <t>FY30E</t>
        </is>
      </c>
      <c r="M4" s="53" t="inlineStr">
        <is>
          <t>FY31E</t>
        </is>
      </c>
      <c r="N4" s="53" t="inlineStr">
        <is>
          <t>FY32E</t>
        </is>
      </c>
      <c r="O4" s="53" t="inlineStr">
        <is>
          <t>FY33E</t>
        </is>
      </c>
      <c r="P4" s="53" t="inlineStr">
        <is>
          <t>FY34E</t>
        </is>
      </c>
      <c r="Q4" s="53" t="inlineStr">
        <is>
          <t>FY35E</t>
        </is>
      </c>
      <c r="R4" s="26" t="inlineStr">
        <is>
          <t>Logic</t>
        </is>
      </c>
    </row>
    <row r="5">
      <c r="B5" s="11" t="inlineStr">
        <is>
          <t>Scenario:</t>
        </is>
      </c>
      <c r="C5" s="3" t="str">
        <f>Assumptions!$C$9</f>
        <v>Base</v>
      </c>
      <c r="H5" s="11" t="inlineStr">
        <is>
          <t>Explicit forecast</t>
        </is>
      </c>
      <c r="M5" s="11" t="inlineStr">
        <is>
          <t>Fade period</t>
        </is>
      </c>
    </row>
    <row r="6">
      <c r="B6" s="11" t="inlineStr">
        <is>
          <t>Fade step (years into fade)</t>
        </is>
      </c>
      <c r="M6" s="54">
        <f>COLUMN()-COLUMN($L$6)</f>
        <v>1.0</v>
      </c>
      <c r="N6" s="54">
        <f>COLUMN()-COLUMN($L$6)</f>
        <v>2.0</v>
      </c>
      <c r="O6" s="54">
        <f>COLUMN()-COLUMN($L$6)</f>
        <v>3.0</v>
      </c>
      <c r="P6" s="54">
        <f>COLUMN()-COLUMN($L$6)</f>
        <v>4.0</v>
      </c>
      <c r="Q6" s="54">
        <f>COLUMN()-COLUMN($L$6)</f>
        <v>5.0</v>
      </c>
    </row>
    <row r="8">
      <c r="B8" s="3" t="inlineStr">
        <is>
          <t>Revenue</t>
        </is>
      </c>
      <c r="C8" s="50">
        <f>Historical!D6</f>
        <v>18611.0</v>
      </c>
      <c r="D8" s="50">
        <f>Historical!E6</f>
        <v>21173.4</v>
      </c>
      <c r="E8" s="50">
        <f>Historical!F6</f>
        <v>27558.5</v>
      </c>
      <c r="F8" s="50">
        <f>Historical!G6</f>
        <v>28262.9</v>
      </c>
      <c r="G8" s="50">
        <f>Historical!H6</f>
        <v>32667.3</v>
      </c>
      <c r="H8" s="50">
        <f>'Revenue Build'!D32</f>
        <v>43931.02</v>
      </c>
      <c r="I8" s="50">
        <f>'Revenue Build'!E32</f>
        <v>50468.08</v>
      </c>
      <c r="J8" s="50">
        <f>'Revenue Build'!F32</f>
        <v>56293.058560000005</v>
      </c>
      <c r="K8" s="50">
        <f>'Revenue Build'!G32</f>
        <v>60408.3442496</v>
      </c>
      <c r="L8" s="50">
        <f>'Revenue Build'!H32</f>
        <v>64007.664692160004</v>
      </c>
      <c r="M8" s="43">
        <f>L8*(1+M9)</f>
        <v>67378.72649747752</v>
      </c>
      <c r="N8" s="43">
        <f>M8*(1+N9)</f>
        <v>70461.29649624792</v>
      </c>
      <c r="O8" s="43">
        <f>N8*(1+O9)</f>
        <v>73197.53881233593</v>
      </c>
      <c r="P8" s="43">
        <f>O8*(1+P9)</f>
        <v>75533.75781928842</v>
      </c>
      <c r="Q8" s="43">
        <f>P8*(1+Q9)</f>
        <v>77422.10176477063</v>
      </c>
      <c r="R8" s="11" t="inlineStr">
        <is>
          <t>FY26-30: Revenue Build; FY31-35: prior x (1 + growth)</t>
        </is>
      </c>
    </row>
    <row r="9">
      <c r="B9" s="10" t="inlineStr">
        <is>
          <t xml:space="preserve">  Revenue growth %</t>
        </is>
      </c>
      <c r="C9" s="51">
        <f>Historical!D31</f>
        <v>0.33140179561469396</v>
      </c>
      <c r="D9" s="51">
        <f>Historical!E31</f>
        <v>0.137682016012036</v>
      </c>
      <c r="E9" s="51">
        <f>Historical!F31</f>
        <v>0.30156233765007023</v>
      </c>
      <c r="F9" s="51">
        <f>Historical!G31</f>
        <v>0.02556017199775029</v>
      </c>
      <c r="G9" s="51">
        <f>Historical!H31</f>
        <v>0.15583680372502462</v>
      </c>
      <c r="H9" s="33">
        <f>H8/G8-1</f>
        <v>0.34480107018333306</v>
      </c>
      <c r="I9" s="33">
        <f>I8/H8-1</f>
        <v>0.1488028277057989</v>
      </c>
      <c r="J9" s="33">
        <f>J8/I8-1</f>
        <v>0.11541906408961866</v>
      </c>
      <c r="K9" s="33">
        <f>K8/J8-1</f>
        <v>0.07310467391310271</v>
      </c>
      <c r="L9" s="33">
        <f>L8/K8-1</f>
        <v>0.05958316665141572</v>
      </c>
      <c r="M9" s="33">
        <f>$L9+(Assumptions!$E$137-$L9)*M$6/Assumptions!$C$13</f>
        <v>0.05266653332113257</v>
      </c>
      <c r="N9" s="33">
        <f>$L9+(Assumptions!$E$137-$L9)*N$6/Assumptions!$C$13</f>
        <v>0.045749899990849434</v>
      </c>
      <c r="O9" s="33">
        <f>$L9+(Assumptions!$E$137-$L9)*O$6/Assumptions!$C$13</f>
        <v>0.03883326666056629</v>
      </c>
      <c r="P9" s="33">
        <f>$L9+(Assumptions!$E$137-$L9)*P$6/Assumptions!$C$13</f>
        <v>0.03191663333028315</v>
      </c>
      <c r="Q9" s="33">
        <f>$L9+(Assumptions!$E$137-$L9)*Q$6/Assumptions!$C$13</f>
        <v>0.025</v>
      </c>
      <c r="R9" s="11" t="inlineStr">
        <is>
          <t>Fade: FY30 growth + (g - FY30 growth) x step / fade years</t>
        </is>
      </c>
    </row>
    <row r="11">
      <c r="B11" s="10" t="inlineStr">
        <is>
          <t>Gross profit</t>
        </is>
      </c>
      <c r="C11" s="50">
        <f>Historical!D8</f>
        <v>9809.0</v>
      </c>
      <c r="D11" s="50">
        <f>Historical!E8</f>
        <v>10700.1</v>
      </c>
      <c r="E11" s="50">
        <f>Historical!F8</f>
        <v>14136.1</v>
      </c>
      <c r="F11" s="50">
        <f>Historical!G8</f>
        <v>14492.0</v>
      </c>
      <c r="G11" s="50">
        <f>Historical!H8</f>
        <v>17258.0</v>
      </c>
      <c r="H11" s="42">
        <f>H8*H12</f>
        <v>24162.061</v>
      </c>
      <c r="I11" s="42">
        <f>I8*I12</f>
        <v>28262.124800000005</v>
      </c>
      <c r="J11" s="42">
        <f>J8*J12</f>
        <v>31805.5780864</v>
      </c>
      <c r="K11" s="42">
        <f>K8*K12</f>
        <v>34432.75622227199</v>
      </c>
      <c r="L11" s="42">
        <f>L8*L12</f>
        <v>36484.368874531196</v>
      </c>
      <c r="M11" s="42">
        <f>M8*M12</f>
        <v>38405.87410356218</v>
      </c>
      <c r="N11" s="42">
        <f>N8*N12</f>
        <v>40162.93900286131</v>
      </c>
      <c r="O11" s="42">
        <f>O8*O12</f>
        <v>41722.597123031475</v>
      </c>
      <c r="P11" s="42">
        <f>P8*P12</f>
        <v>43054.241956994396</v>
      </c>
      <c r="Q11" s="42">
        <f>Q8*Q12</f>
        <v>44130.59800591926</v>
      </c>
      <c r="R11" s="11" t="inlineStr">
        <is>
          <t>Revenue x gross margin</t>
        </is>
      </c>
    </row>
    <row r="12">
      <c r="B12" s="10" t="inlineStr">
        <is>
          <t xml:space="preserve">  Gross margin %</t>
        </is>
      </c>
      <c r="C12" s="51">
        <f>Historical!D32</f>
        <v>0.5270538928590618</v>
      </c>
      <c r="D12" s="51">
        <f>Historical!E32</f>
        <v>0.5053557765876052</v>
      </c>
      <c r="E12" s="51">
        <f>Historical!F32</f>
        <v>0.5129488179690477</v>
      </c>
      <c r="F12" s="51">
        <f>Historical!G32</f>
        <v>0.512757006535069</v>
      </c>
      <c r="G12" s="51">
        <f>Historical!H32</f>
        <v>0.5282958799778372</v>
      </c>
      <c r="H12" s="51">
        <f>Assumptions!E107</f>
        <v>0.55</v>
      </c>
      <c r="I12" s="51">
        <f>Assumptions!F107</f>
        <v>0.56</v>
      </c>
      <c r="J12" s="51">
        <f>Assumptions!G107</f>
        <v>0.565</v>
      </c>
      <c r="K12" s="51">
        <f>Assumptions!H107</f>
        <v>0.57</v>
      </c>
      <c r="L12" s="51">
        <f>Assumptions!I107</f>
        <v>0.57</v>
      </c>
      <c r="M12" s="33">
        <f>$L12</f>
        <v>0.57</v>
      </c>
      <c r="N12" s="33">
        <f>$L12</f>
        <v>0.57</v>
      </c>
      <c r="O12" s="33">
        <f>$L12</f>
        <v>0.57</v>
      </c>
      <c r="P12" s="33">
        <f>$L12</f>
        <v>0.57</v>
      </c>
      <c r="Q12" s="33">
        <f>$L12</f>
        <v>0.57</v>
      </c>
      <c r="R12" s="11" t="inlineStr"/>
    </row>
    <row r="14">
      <c r="B14" s="3" t="inlineStr">
        <is>
          <t>EBITDA</t>
        </is>
      </c>
      <c r="C14" s="55">
        <f>Historical!D33</f>
        <v>7221.1</v>
      </c>
      <c r="D14" s="55">
        <f>Historical!E33</f>
        <v>7084.3</v>
      </c>
      <c r="E14" s="55">
        <f>Historical!F33</f>
        <v>9782.099999999999</v>
      </c>
      <c r="F14" s="55">
        <f>Historical!G33</f>
        <v>9941.2</v>
      </c>
      <c r="G14" s="55">
        <f>Historical!H33</f>
        <v>12327.3</v>
      </c>
      <c r="H14" s="41">
        <f>H8*H15</f>
        <v>18011.7182</v>
      </c>
      <c r="I14" s="41">
        <f>I8*I15</f>
        <v>21196.5936</v>
      </c>
      <c r="J14" s="41">
        <f>J8*J15</f>
        <v>23924.549888</v>
      </c>
      <c r="K14" s="41">
        <f>K8*K15</f>
        <v>25975.588027327998</v>
      </c>
      <c r="L14" s="41">
        <f>L8*L15</f>
        <v>27523.2958176288</v>
      </c>
      <c r="M14" s="41">
        <f>M8*M15</f>
        <v>28972.85239391533</v>
      </c>
      <c r="N14" s="41">
        <f>N8*N15</f>
        <v>30298.357493386604</v>
      </c>
      <c r="O14" s="41">
        <f>O8*O15</f>
        <v>31474.94168930445</v>
      </c>
      <c r="P14" s="41">
        <f>P8*P15</f>
        <v>32479.51586229402</v>
      </c>
      <c r="Q14" s="41">
        <f>Q8*Q15</f>
        <v>33291.50375885137</v>
      </c>
      <c r="R14" s="11" t="inlineStr">
        <is>
          <t>Revenue x EBITDA margin</t>
        </is>
      </c>
    </row>
    <row r="15">
      <c r="B15" s="10" t="inlineStr">
        <is>
          <t xml:space="preserve">  EBITDA margin %</t>
        </is>
      </c>
      <c r="C15" s="51">
        <f>Historical!D34</f>
        <v>0.38800171941325023</v>
      </c>
      <c r="D15" s="51">
        <f>Historical!E34</f>
        <v>0.3345849036999254</v>
      </c>
      <c r="E15" s="51">
        <f>Historical!F34</f>
        <v>0.3549576355752308</v>
      </c>
      <c r="F15" s="51">
        <f>Historical!G34</f>
        <v>0.35174026727618185</v>
      </c>
      <c r="G15" s="51">
        <f>Historical!H34</f>
        <v>0.3773590103865333</v>
      </c>
      <c r="H15" s="51">
        <f>Assumptions!E112</f>
        <v>0.41</v>
      </c>
      <c r="I15" s="51">
        <f>Assumptions!F112</f>
        <v>0.42</v>
      </c>
      <c r="J15" s="51">
        <f>Assumptions!G112</f>
        <v>0.425</v>
      </c>
      <c r="K15" s="51">
        <f>Assumptions!H112</f>
        <v>0.43</v>
      </c>
      <c r="L15" s="51">
        <f>Assumptions!I112</f>
        <v>0.43</v>
      </c>
      <c r="M15" s="33">
        <f>$L15</f>
        <v>0.43</v>
      </c>
      <c r="N15" s="33">
        <f>$L15</f>
        <v>0.43</v>
      </c>
      <c r="O15" s="33">
        <f>$L15</f>
        <v>0.43</v>
      </c>
      <c r="P15" s="33">
        <f>$L15</f>
        <v>0.43</v>
      </c>
      <c r="Q15" s="33">
        <f>$L15</f>
        <v>0.43</v>
      </c>
      <c r="R15" s="11" t="inlineStr">
        <is>
          <t>Fade years hold the FY30 ratio</t>
        </is>
      </c>
    </row>
    <row r="17">
      <c r="B17" s="10" t="inlineStr">
        <is>
          <t>Depreciation &amp; amortization</t>
        </is>
      </c>
      <c r="C17" s="50">
        <f>Historical!D12</f>
        <v>471.0</v>
      </c>
      <c r="D17" s="50">
        <f>Historical!E12</f>
        <v>583.6</v>
      </c>
      <c r="E17" s="50">
        <f>Historical!F12</f>
        <v>739.8</v>
      </c>
      <c r="F17" s="50">
        <f>Historical!G12</f>
        <v>918.6</v>
      </c>
      <c r="G17" s="50">
        <f>Historical!H12</f>
        <v>1025.9</v>
      </c>
      <c r="H17" s="42">
        <f>H8*H18</f>
        <v>1230.06856</v>
      </c>
      <c r="I17" s="42">
        <f>I8*I18</f>
        <v>1413.10624</v>
      </c>
      <c r="J17" s="42">
        <f>J8*J18</f>
        <v>1576.20563968</v>
      </c>
      <c r="K17" s="42">
        <f>K8*K18</f>
        <v>1691.4336389888</v>
      </c>
      <c r="L17" s="42">
        <f>L8*L18</f>
        <v>1792.2146113804802</v>
      </c>
      <c r="M17" s="42">
        <f>M8*M18</f>
        <v>1886.6043419293705</v>
      </c>
      <c r="N17" s="42">
        <f>N8*N18</f>
        <v>1972.9163018949416</v>
      </c>
      <c r="O17" s="42">
        <f>O8*O18</f>
        <v>2049.531086745406</v>
      </c>
      <c r="P17" s="42">
        <f>P8*P18</f>
        <v>2114.945218940076</v>
      </c>
      <c r="Q17" s="42">
        <f>Q8*Q18</f>
        <v>2167.818849413578</v>
      </c>
      <c r="R17" s="11" t="inlineStr">
        <is>
          <t>Revenue x D&amp;A %</t>
        </is>
      </c>
    </row>
    <row r="18">
      <c r="B18" s="10" t="inlineStr">
        <is>
          <t xml:space="preserve">  D&amp;A % revenue</t>
        </is>
      </c>
      <c r="C18" s="51">
        <f>Historical!D36</f>
        <v>0.025307613776798667</v>
      </c>
      <c r="D18" s="51">
        <f>Historical!E36</f>
        <v>0.027562885507287443</v>
      </c>
      <c r="E18" s="51">
        <f>Historical!F36</f>
        <v>0.02684471215777346</v>
      </c>
      <c r="F18" s="51">
        <f>Historical!G36</f>
        <v>0.03250197255058752</v>
      </c>
      <c r="G18" s="51">
        <f>Historical!H36</f>
        <v>0.031404493178193486</v>
      </c>
      <c r="H18" s="51">
        <f>Assumptions!E117</f>
        <v>0.028</v>
      </c>
      <c r="I18" s="51">
        <f>Assumptions!F117</f>
        <v>0.028</v>
      </c>
      <c r="J18" s="51">
        <f>Assumptions!G117</f>
        <v>0.028</v>
      </c>
      <c r="K18" s="51">
        <f>Assumptions!H117</f>
        <v>0.028</v>
      </c>
      <c r="L18" s="51">
        <f>Assumptions!I117</f>
        <v>0.028</v>
      </c>
      <c r="M18" s="33">
        <f>$L18</f>
        <v>0.028</v>
      </c>
      <c r="N18" s="33">
        <f>$L18</f>
        <v>0.028</v>
      </c>
      <c r="O18" s="33">
        <f>$L18</f>
        <v>0.028</v>
      </c>
      <c r="P18" s="33">
        <f>$L18</f>
        <v>0.028</v>
      </c>
      <c r="Q18" s="33">
        <f>$L18</f>
        <v>0.028</v>
      </c>
      <c r="R18" s="11" t="inlineStr"/>
    </row>
    <row r="20">
      <c r="B20" s="3" t="inlineStr">
        <is>
          <t>EBIT</t>
        </is>
      </c>
      <c r="C20" s="50">
        <f>Historical!D11</f>
        <v>6750.1</v>
      </c>
      <c r="D20" s="50">
        <f>Historical!E11</f>
        <v>6500.7</v>
      </c>
      <c r="E20" s="50">
        <f>Historical!F11</f>
        <v>9042.3</v>
      </c>
      <c r="F20" s="50">
        <f>Historical!G11</f>
        <v>9022.6</v>
      </c>
      <c r="G20" s="50">
        <f>Historical!H11</f>
        <v>11301.4</v>
      </c>
      <c r="H20" s="43">
        <f>H14-H17</f>
        <v>16781.64964</v>
      </c>
      <c r="I20" s="43">
        <f>I14-I17</f>
        <v>19783.48736</v>
      </c>
      <c r="J20" s="43">
        <f>J14-J17</f>
        <v>22348.34424832</v>
      </c>
      <c r="K20" s="43">
        <f>K14-K17</f>
        <v>24284.154388339197</v>
      </c>
      <c r="L20" s="43">
        <f>L14-L17</f>
        <v>25731.08120624832</v>
      </c>
      <c r="M20" s="43">
        <f>M14-M17</f>
        <v>27086.24805198596</v>
      </c>
      <c r="N20" s="43">
        <f>N14-N17</f>
        <v>28325.441191491664</v>
      </c>
      <c r="O20" s="43">
        <f>O14-O17</f>
        <v>29425.410602559044</v>
      </c>
      <c r="P20" s="43">
        <f>P14-P17</f>
        <v>30364.570643353945</v>
      </c>
      <c r="Q20" s="43">
        <f>Q14-Q17</f>
        <v>31123.684909437794</v>
      </c>
      <c r="R20" s="11" t="inlineStr">
        <is>
          <t>EBITDA - D&amp;A</t>
        </is>
      </c>
    </row>
    <row r="21">
      <c r="B21" s="10" t="inlineStr">
        <is>
          <t xml:space="preserve">  EBIT margin %</t>
        </is>
      </c>
      <c r="C21" s="51">
        <f>Historical!D35</f>
        <v>0.3626941056364516</v>
      </c>
      <c r="D21" s="51">
        <f>Historical!E35</f>
        <v>0.3070220181926379</v>
      </c>
      <c r="E21" s="51">
        <f>Historical!F35</f>
        <v>0.3281129234174574</v>
      </c>
      <c r="F21" s="51">
        <f>Historical!G35</f>
        <v>0.31923829472559434</v>
      </c>
      <c r="G21" s="51">
        <f>Historical!H35</f>
        <v>0.34595451720833986</v>
      </c>
      <c r="H21" s="33">
        <f>H20/H8</f>
        <v>0.382</v>
      </c>
      <c r="I21" s="33">
        <f>I20/I8</f>
        <v>0.39199999999999996</v>
      </c>
      <c r="J21" s="33">
        <f>J20/J8</f>
        <v>0.39699999999999996</v>
      </c>
      <c r="K21" s="33">
        <f>K20/K8</f>
        <v>0.40199999999999997</v>
      </c>
      <c r="L21" s="33">
        <f>L20/L8</f>
        <v>0.40199999999999997</v>
      </c>
      <c r="M21" s="33">
        <f>M20/M8</f>
        <v>0.40199999999999997</v>
      </c>
      <c r="N21" s="33">
        <f>N20/N8</f>
        <v>0.402</v>
      </c>
      <c r="O21" s="33">
        <f>O20/O8</f>
        <v>0.402</v>
      </c>
      <c r="P21" s="33">
        <f>P20/P8</f>
        <v>0.40199999999999997</v>
      </c>
      <c r="Q21" s="33">
        <f>Q20/Q8</f>
        <v>0.402</v>
      </c>
      <c r="R21" s="11" t="inlineStr"/>
    </row>
    <row r="23">
      <c r="B23" s="10" t="inlineStr">
        <is>
          <t>Taxes on EBIT</t>
        </is>
      </c>
      <c r="C23" s="50">
        <f>Historical!D39</f>
        <v>1028.1935933189175</v>
      </c>
      <c r="D23" s="50">
        <f>Historical!E39</f>
        <v>976.6002586700948</v>
      </c>
      <c r="E23" s="50">
        <f>Historical!F39</f>
        <v>1429.287646832168</v>
      </c>
      <c r="F23" s="50">
        <f>Historical!G39</f>
        <v>1676.9200168096966</v>
      </c>
      <c r="G23" s="50">
        <f>Historical!H39</f>
        <v>1994.9183998036137</v>
      </c>
      <c r="H23" s="42">
        <f>H20*H24</f>
        <v>2936.7886869999998</v>
      </c>
      <c r="I23" s="42">
        <f>I20*I24</f>
        <v>3462.110288</v>
      </c>
      <c r="J23" s="42">
        <f>J20*J24</f>
        <v>3910.960243456</v>
      </c>
      <c r="K23" s="42">
        <f>K20*K24</f>
        <v>4249.727017959359</v>
      </c>
      <c r="L23" s="42">
        <f>L20*L24</f>
        <v>4502.939211093456</v>
      </c>
      <c r="M23" s="42">
        <f>M20*M24</f>
        <v>4740.0934090975425</v>
      </c>
      <c r="N23" s="42">
        <f>N20*N24</f>
        <v>4956.952208511041</v>
      </c>
      <c r="O23" s="42">
        <f>O20*O24</f>
        <v>5149.446855447833</v>
      </c>
      <c r="P23" s="42">
        <f>P20*P24</f>
        <v>5313.79986258694</v>
      </c>
      <c r="Q23" s="42">
        <f>Q20*Q24</f>
        <v>5446.644859151614</v>
      </c>
      <c r="R23" s="11" t="inlineStr">
        <is>
          <t>EBIT x tax rate</t>
        </is>
      </c>
    </row>
    <row r="24">
      <c r="B24" s="10" t="inlineStr">
        <is>
          <t xml:space="preserve">  Tax rate</t>
        </is>
      </c>
      <c r="C24" s="51">
        <f>Historical!D38</f>
        <v>0.15232272015509657</v>
      </c>
      <c r="D24" s="51">
        <f>Historical!E38</f>
        <v>0.1502300150245504</v>
      </c>
      <c r="E24" s="51">
        <f>Historical!F38</f>
        <v>0.15806682446193648</v>
      </c>
      <c r="F24" s="51">
        <f>Historical!G38</f>
        <v>0.18585773688401308</v>
      </c>
      <c r="G24" s="51">
        <f>Historical!H38</f>
        <v>0.17651958162737483</v>
      </c>
      <c r="H24" s="51">
        <f>Assumptions!E132</f>
        <v>0.175</v>
      </c>
      <c r="I24" s="51">
        <f>Assumptions!F132</f>
        <v>0.175</v>
      </c>
      <c r="J24" s="51">
        <f>Assumptions!G132</f>
        <v>0.175</v>
      </c>
      <c r="K24" s="51">
        <f>Assumptions!H132</f>
        <v>0.175</v>
      </c>
      <c r="L24" s="51">
        <f>Assumptions!I132</f>
        <v>0.175</v>
      </c>
      <c r="M24" s="33">
        <f>$L24</f>
        <v>0.175</v>
      </c>
      <c r="N24" s="33">
        <f>$L24</f>
        <v>0.175</v>
      </c>
      <c r="O24" s="33">
        <f>$L24</f>
        <v>0.175</v>
      </c>
      <c r="P24" s="33">
        <f>$L24</f>
        <v>0.175</v>
      </c>
      <c r="Q24" s="33">
        <f>$L24</f>
        <v>0.175</v>
      </c>
      <c r="R24" s="11" t="inlineStr"/>
    </row>
    <row r="25">
      <c r="B25" s="3" t="inlineStr">
        <is>
          <t>NOPAT</t>
        </is>
      </c>
      <c r="C25" s="55">
        <f>Historical!D40</f>
        <v>5721.906406681082</v>
      </c>
      <c r="D25" s="55">
        <f>Historical!E40</f>
        <v>5524.099741329905</v>
      </c>
      <c r="E25" s="55">
        <f>Historical!F40</f>
        <v>7613.012353167831</v>
      </c>
      <c r="F25" s="55">
        <f>Historical!G40</f>
        <v>7345.679983190304</v>
      </c>
      <c r="G25" s="55">
        <f>Historical!H40</f>
        <v>9306.481600196386</v>
      </c>
      <c r="H25" s="41">
        <f>H20-H23</f>
        <v>13844.860953</v>
      </c>
      <c r="I25" s="41">
        <f>I20-I23</f>
        <v>16321.377072</v>
      </c>
      <c r="J25" s="41">
        <f>J20-J23</f>
        <v>18437.384004864</v>
      </c>
      <c r="K25" s="41">
        <f>K20-K23</f>
        <v>20034.42737037984</v>
      </c>
      <c r="L25" s="41">
        <f>L20-L23</f>
        <v>21228.141995154863</v>
      </c>
      <c r="M25" s="41">
        <f>M20-M23</f>
        <v>22346.154642888418</v>
      </c>
      <c r="N25" s="41">
        <f>N20-N23</f>
        <v>23368.488982980623</v>
      </c>
      <c r="O25" s="41">
        <f>O20-O23</f>
        <v>24275.96374711121</v>
      </c>
      <c r="P25" s="41">
        <f>P20-P23</f>
        <v>25050.770780767005</v>
      </c>
      <c r="Q25" s="41">
        <f>Q20-Q23</f>
        <v>25677.04005028618</v>
      </c>
      <c r="R25" s="11" t="inlineStr">
        <is>
          <t>EBIT - taxes</t>
        </is>
      </c>
    </row>
    <row r="27">
      <c r="B27" s="10" t="inlineStr">
        <is>
          <t>Capital expenditures</t>
        </is>
      </c>
      <c r="C27" s="50">
        <f>Historical!D41</f>
        <v>940.3000000000001</v>
      </c>
      <c r="D27" s="50">
        <f>Historical!E41</f>
        <v>1319.3</v>
      </c>
      <c r="E27" s="50">
        <f>Historical!F41</f>
        <v>2196.2</v>
      </c>
      <c r="F27" s="50">
        <f>Historical!G41</f>
        <v>2083.1</v>
      </c>
      <c r="G27" s="50">
        <f>Historical!H41</f>
        <v>1631.1999999999998</v>
      </c>
      <c r="H27" s="42">
        <f>H8*H28</f>
        <v>2416.2061</v>
      </c>
      <c r="I27" s="42">
        <f>I8*I28</f>
        <v>2775.7444</v>
      </c>
      <c r="J27" s="42">
        <f>J8*J28</f>
        <v>3096.1182208000005</v>
      </c>
      <c r="K27" s="42">
        <f>K8*K28</f>
        <v>3322.458933728</v>
      </c>
      <c r="L27" s="42">
        <f>L8*L28</f>
        <v>3520.4215580688</v>
      </c>
      <c r="M27" s="42">
        <f>M8*M28</f>
        <v>3705.8299573612635</v>
      </c>
      <c r="N27" s="42">
        <f>N8*N28</f>
        <v>3875.3713072936353</v>
      </c>
      <c r="O27" s="42">
        <f>O8*O28</f>
        <v>4025.8646346784762</v>
      </c>
      <c r="P27" s="42">
        <f>P8*P28</f>
        <v>4154.356680060863</v>
      </c>
      <c r="Q27" s="42">
        <f>Q8*Q28</f>
        <v>4258.215597062384</v>
      </c>
      <c r="R27" s="11" t="inlineStr">
        <is>
          <t>Revenue x CapEx %</t>
        </is>
      </c>
    </row>
    <row r="28">
      <c r="B28" s="10" t="inlineStr">
        <is>
          <t xml:space="preserve">  CapEx % revenue</t>
        </is>
      </c>
      <c r="C28" s="51">
        <f>Historical!D42</f>
        <v>0.050523883724678954</v>
      </c>
      <c r="D28" s="51">
        <f>Historical!E42</f>
        <v>0.06230931262810885</v>
      </c>
      <c r="E28" s="51">
        <f>Historical!F42</f>
        <v>0.0796922909447176</v>
      </c>
      <c r="F28" s="51">
        <f>Historical!G42</f>
        <v>0.07370439693025131</v>
      </c>
      <c r="G28" s="51">
        <f>Historical!H42</f>
        <v>0.04993372577470436</v>
      </c>
      <c r="H28" s="51">
        <f>Assumptions!E122</f>
        <v>0.055</v>
      </c>
      <c r="I28" s="51">
        <f>Assumptions!F122</f>
        <v>0.055</v>
      </c>
      <c r="J28" s="51">
        <f>Assumptions!G122</f>
        <v>0.055</v>
      </c>
      <c r="K28" s="51">
        <f>Assumptions!H122</f>
        <v>0.055</v>
      </c>
      <c r="L28" s="51">
        <f>Assumptions!I122</f>
        <v>0.055</v>
      </c>
      <c r="M28" s="33">
        <f>$L28</f>
        <v>0.055</v>
      </c>
      <c r="N28" s="33">
        <f>$L28</f>
        <v>0.055</v>
      </c>
      <c r="O28" s="33">
        <f>$L28</f>
        <v>0.055</v>
      </c>
      <c r="P28" s="33">
        <f>$L28</f>
        <v>0.055</v>
      </c>
      <c r="Q28" s="33">
        <f>$L28</f>
        <v>0.055</v>
      </c>
      <c r="R28" s="11" t="inlineStr"/>
    </row>
    <row r="30">
      <c r="B30" s="10" t="inlineStr">
        <is>
          <t>Net working capital</t>
        </is>
      </c>
      <c r="C30" s="50">
        <f>Historical!D43</f>
        <v>-4414.699999999998</v>
      </c>
      <c r="D30" s="50">
        <f>Historical!E43</f>
        <v>-6818.399999999996</v>
      </c>
      <c r="E30" s="50">
        <f>Historical!F43</f>
        <v>-3716.300000000001</v>
      </c>
      <c r="F30" s="50">
        <f>Historical!G43</f>
        <v>-6670.400000000003</v>
      </c>
      <c r="G30" s="50">
        <f>Historical!H43</f>
        <v>-8920.2</v>
      </c>
      <c r="H30" s="42">
        <f>H8*H31</f>
        <v>-5271.7224</v>
      </c>
      <c r="I30" s="42">
        <f>I8*I31</f>
        <v>-6056.1696</v>
      </c>
      <c r="J30" s="42">
        <f>J8*J31</f>
        <v>-6755.1670272</v>
      </c>
      <c r="K30" s="42">
        <f>K8*K31</f>
        <v>-7249.001309951999</v>
      </c>
      <c r="L30" s="42">
        <f>L8*L31</f>
        <v>-7680.9197630592</v>
      </c>
      <c r="M30" s="42">
        <f>M8*M31</f>
        <v>-8085.447179697302</v>
      </c>
      <c r="N30" s="42">
        <f>N8*N31</f>
        <v>-8455.35557954975</v>
      </c>
      <c r="O30" s="42">
        <f>O8*O31</f>
        <v>-8783.704657480312</v>
      </c>
      <c r="P30" s="42">
        <f>P8*P31</f>
        <v>-9064.05093831461</v>
      </c>
      <c r="Q30" s="42">
        <f>Q8*Q31</f>
        <v>-9290.652211772476</v>
      </c>
      <c r="R30" s="11" t="inlineStr">
        <is>
          <t>Revenue x NWC %</t>
        </is>
      </c>
    </row>
    <row r="31">
      <c r="B31" s="10" t="inlineStr">
        <is>
          <t xml:space="preserve">  NWC % revenue</t>
        </is>
      </c>
      <c r="C31" s="51">
        <f>Historical!D44</f>
        <v>-0.23720917736822297</v>
      </c>
      <c r="D31" s="51">
        <f>Historical!E44</f>
        <v>-0.322026693870611</v>
      </c>
      <c r="E31" s="51">
        <f>Historical!F44</f>
        <v>-0.1348513162907996</v>
      </c>
      <c r="F31" s="51">
        <f>Historical!G44</f>
        <v>-0.23601258186527224</v>
      </c>
      <c r="G31" s="51">
        <f>Historical!H44</f>
        <v>-0.27306205287856666</v>
      </c>
      <c r="H31" s="51">
        <f>Assumptions!E127</f>
        <v>-0.12</v>
      </c>
      <c r="I31" s="51">
        <f>Assumptions!F127</f>
        <v>-0.12</v>
      </c>
      <c r="J31" s="51">
        <f>Assumptions!G127</f>
        <v>-0.12</v>
      </c>
      <c r="K31" s="51">
        <f>Assumptions!H127</f>
        <v>-0.12</v>
      </c>
      <c r="L31" s="51">
        <f>Assumptions!I127</f>
        <v>-0.12</v>
      </c>
      <c r="M31" s="33">
        <f>$L31</f>
        <v>-0.12</v>
      </c>
      <c r="N31" s="33">
        <f>$L31</f>
        <v>-0.12</v>
      </c>
      <c r="O31" s="33">
        <f>$L31</f>
        <v>-0.12</v>
      </c>
      <c r="P31" s="33">
        <f>$L31</f>
        <v>-0.12</v>
      </c>
      <c r="Q31" s="33">
        <f>$L31</f>
        <v>-0.12</v>
      </c>
      <c r="R31" s="11" t="inlineStr"/>
    </row>
    <row r="32">
      <c r="B32" s="10" t="inlineStr">
        <is>
          <t>Change in NWC (increase = outflow)</t>
        </is>
      </c>
      <c r="C32" s="50">
        <f>Historical!D45</f>
        <v>-4765.099999999997</v>
      </c>
      <c r="D32" s="50">
        <f>Historical!E45</f>
        <v>-2403.699999999998</v>
      </c>
      <c r="E32" s="50">
        <f>Historical!F45</f>
        <v>3102.099999999995</v>
      </c>
      <c r="F32" s="50">
        <f>Historical!G45</f>
        <v>-2954.100000000002</v>
      </c>
      <c r="G32" s="50">
        <f>Historical!H45</f>
        <v>-2249.7999999999975</v>
      </c>
      <c r="H32" s="42">
        <f>H30-G30</f>
        <v>3648.477600000001</v>
      </c>
      <c r="I32" s="42">
        <f>I30-H30</f>
        <v>-784.4472000000005</v>
      </c>
      <c r="J32" s="42">
        <f>J30-I30</f>
        <v>-698.9974272</v>
      </c>
      <c r="K32" s="42">
        <f>K30-J30</f>
        <v>-493.8342827519991</v>
      </c>
      <c r="L32" s="42">
        <f>L30-K30</f>
        <v>-431.91845310720055</v>
      </c>
      <c r="M32" s="42">
        <f>M30-L30</f>
        <v>-404.5274166381023</v>
      </c>
      <c r="N32" s="42">
        <f>N30-M30</f>
        <v>-369.9083998524484</v>
      </c>
      <c r="O32" s="42">
        <f>O30-N30</f>
        <v>-328.3490779305612</v>
      </c>
      <c r="P32" s="42">
        <f>P30-O30</f>
        <v>-280.34628083429925</v>
      </c>
      <c r="Q32" s="42">
        <f>Q30-P30</f>
        <v>-226.60127345786532</v>
      </c>
      <c r="R32" s="11" t="inlineStr">
        <is>
          <t>NWC - prior NWC</t>
        </is>
      </c>
    </row>
    <row r="34">
      <c r="B34" s="3" t="inlineStr">
        <is>
          <t>Unlevered free cash flow</t>
        </is>
      </c>
      <c r="C34" s="56">
        <f>Historical!D46</f>
        <v>10017.706406681078</v>
      </c>
      <c r="D34" s="56">
        <f>Historical!E46</f>
        <v>7192.099741329903</v>
      </c>
      <c r="E34" s="56">
        <f>Historical!F46</f>
        <v>3054.5123531678355</v>
      </c>
      <c r="F34" s="56">
        <f>Historical!G46</f>
        <v>9135.279983190305</v>
      </c>
      <c r="G34" s="56">
        <f>Historical!H46</f>
        <v>10950.981600196383</v>
      </c>
      <c r="H34" s="52">
        <f>H25+H17-H27-H32</f>
        <v>9010.245812999998</v>
      </c>
      <c r="I34" s="52">
        <f>I25+I17-I27-I32</f>
        <v>15743.186112000001</v>
      </c>
      <c r="J34" s="52">
        <f>J25+J17-J27-J32</f>
        <v>17616.468850944002</v>
      </c>
      <c r="K34" s="52">
        <f>K25+K17-K27-K32</f>
        <v>18897.236358392638</v>
      </c>
      <c r="L34" s="52">
        <f>L25+L17-L27-L32</f>
        <v>19931.853501573743</v>
      </c>
      <c r="M34" s="52">
        <f>M25+M17-M27-M32</f>
        <v>20931.456444094627</v>
      </c>
      <c r="N34" s="52">
        <f>N25+N17-N27-N32</f>
        <v>21835.942377434378</v>
      </c>
      <c r="O34" s="52">
        <f>O25+O17-O27-O32</f>
        <v>22627.9792771087</v>
      </c>
      <c r="P34" s="52">
        <f>P25+P17-P27-P32</f>
        <v>23291.705600480516</v>
      </c>
      <c r="Q34" s="52">
        <f>Q25+Q17-Q27-Q32</f>
        <v>23813.244576095243</v>
      </c>
      <c r="R34" s="11" t="inlineStr">
        <is>
          <t>NOPAT + D&amp;A - CapEx - change in NWC</t>
        </is>
      </c>
    </row>
    <row r="35">
      <c r="B35" s="10" t="inlineStr">
        <is>
          <t xml:space="preserve">  UFCF margin %</t>
        </is>
      </c>
      <c r="C35" s="51">
        <f>Historical!D47</f>
        <v>0.5382680353920304</v>
      </c>
      <c r="D35" s="51">
        <f>Historical!E47</f>
        <v>0.3396761852763327</v>
      </c>
      <c r="E35" s="51">
        <f>Historical!F47</f>
        <v>0.1108373951110487</v>
      </c>
      <c r="F35" s="51">
        <f>Historical!G47</f>
        <v>0.32322514615238723</v>
      </c>
      <c r="G35" s="51">
        <f>Historical!H47</f>
        <v>0.3352276313070374</v>
      </c>
      <c r="H35" s="33">
        <f>H34/H8</f>
        <v>0.20509985456745594</v>
      </c>
      <c r="I35" s="33">
        <f>I34/I8</f>
        <v>0.31194343260135915</v>
      </c>
      <c r="J35" s="33">
        <f>J34/J8</f>
        <v>0.3129421158057609</v>
      </c>
      <c r="K35" s="33">
        <f>K34/K8</f>
        <v>0.31282493491812213</v>
      </c>
      <c r="L35" s="33">
        <f>L34/L8</f>
        <v>0.3113979176936774</v>
      </c>
      <c r="M35" s="33">
        <f>M34/M8</f>
        <v>0.31065378543297706</v>
      </c>
      <c r="N35" s="33">
        <f>N34/N8</f>
        <v>0.3098998097288367</v>
      </c>
      <c r="O35" s="33">
        <f>O34/O8</f>
        <v>0.3091357939660018</v>
      </c>
      <c r="P35" s="33">
        <f>P34/P8</f>
        <v>0.30836153625780166</v>
      </c>
      <c r="Q35" s="33">
        <f>Q34/Q8</f>
        <v>0.3075768292682928</v>
      </c>
      <c r="R35" s="11" t="inlineStr"/>
    </row>
    <row r="37">
      <c r="B37" s="10" t="inlineStr">
        <is>
          <t>Memo: implied opex % (GM - EBIT margin)</t>
        </is>
      </c>
      <c r="C37" s="33">
        <f>C12-C21</f>
        <v>0.1643597872226102</v>
      </c>
      <c r="D37" s="33">
        <f>D12-D21</f>
        <v>0.1983337583949673</v>
      </c>
      <c r="E37" s="33">
        <f>E12-E21</f>
        <v>0.18483589455159027</v>
      </c>
      <c r="F37" s="33">
        <f>F12-F21</f>
        <v>0.1935187118094746</v>
      </c>
      <c r="G37" s="33">
        <f>G12-G21</f>
        <v>0.18234136276949736</v>
      </c>
      <c r="H37" s="33">
        <f>H12-H21</f>
        <v>0.16800000000000004</v>
      </c>
      <c r="I37" s="33">
        <f>I12-I21</f>
        <v>0.1680000000000001</v>
      </c>
      <c r="J37" s="33">
        <f>J12-J21</f>
        <v>0.16799999999999998</v>
      </c>
      <c r="K37" s="33">
        <f>K12-K21</f>
        <v>0.16799999999999998</v>
      </c>
      <c r="L37" s="33">
        <f>L12-L21</f>
        <v>0.16799999999999998</v>
      </c>
      <c r="M37" s="33">
        <f>M12-M21</f>
        <v>0.16799999999999998</v>
      </c>
      <c r="N37" s="33">
        <f>N12-N21</f>
        <v>0.16799999999999993</v>
      </c>
      <c r="O37" s="33">
        <f>O12-O21</f>
        <v>0.16799999999999993</v>
      </c>
      <c r="P37" s="33">
        <f>P12-P21</f>
        <v>0.16799999999999998</v>
      </c>
      <c r="Q37" s="33">
        <f>Q12-Q21</f>
        <v>0.16799999999999993</v>
      </c>
      <c r="R37" s="11" t="inlineStr">
        <is>
          <t>Sanity check: R&amp;D + SG&amp;A ~ 16-19% historically</t>
        </is>
      </c>
    </row>
    <row r="39">
      <c r="B39" s="3" t="inlineStr">
        <is>
          <t>Revenue CAGR FY25A-FY30E</t>
        </is>
      </c>
      <c r="C39" s="46">
        <f>(L8/G8)^(1/5)-1</f>
        <v>0.14399400423077724</v>
      </c>
    </row>
    <row r="40">
      <c r="B40" s="3" t="inlineStr">
        <is>
          <t>Average EBITDA margin FY26-30</t>
        </is>
      </c>
      <c r="C40" s="46">
        <f>AVERAGE(H15:L15)</f>
        <v>0.42299999999999993</v>
      </c>
    </row>
    <row r="41">
      <c r="B41" s="10" t="inlineStr">
        <is>
          <t>FY30E revenue vs 2030 company range (EUR 44-60bn) [S10]</t>
        </is>
      </c>
      <c r="C41" s="3" t="str">
        <f>IF(L8&gt;60000,"Above range",IF(L8&lt;44000,"Below range","Within range"))</f>
        <v>Above range</v>
      </c>
    </row>
  </sheetData>
  <pageMargins left="0.75" right="0.75" top="1" bottom="1" header="0.5" footer="0.5"/>
  <pageSetup orientation="landscape" fitToWidth="1"/>
</worksheet>
</file>

<file path=xl/worksheets/sheet6.xml><?xml version="1.0" encoding="utf-8"?>
<worksheet xmlns="http://schemas.openxmlformats.org/spreadsheetml/2006/main">
  <sheetPr>
    <tabColor rgb="002B4BFF"/>
    <outlinePr summaryBelow="1" summaryRight="1"/>
    <pageSetUpPr fitToPage="1"/>
  </sheetPr>
  <dimension ref="B1:D3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6" customWidth="1" min="2" max="2"/>
    <col width="14" customWidth="1" min="3" max="3"/>
    <col width="84" customWidth="1" min="4" max="4"/>
  </cols>
  <sheetData>
    <row r="1">
      <c r="B1" s="12" t="inlineStr">
        <is>
          <t>Weighted Average Cost of Capital</t>
        </is>
      </c>
    </row>
    <row r="2">
      <c r="B2" s="13" t="inlineStr">
        <is>
          <t>CAPM cost of equity, market-value weights. Inputs are linked from Assumptions (green).</t>
        </is>
      </c>
    </row>
    <row r="5">
      <c r="B5" s="14" t="inlineStr">
        <is>
          <t>Cost of equity</t>
        </is>
      </c>
      <c r="C5" s="15" t="n"/>
      <c r="D5" s="15" t="n"/>
    </row>
    <row r="6">
      <c r="B6" s="10" t="inlineStr">
        <is>
          <t>Risk-free rate</t>
        </is>
      </c>
      <c r="C6" s="57">
        <f>Assumptions!$C$32</f>
        <v>0.0351</v>
      </c>
      <c r="D6" s="11" t="inlineStr">
        <is>
          <t>10Y German Bund: EUR, long-duration, matches EUR cash flows</t>
        </is>
      </c>
    </row>
    <row r="7">
      <c r="B7" s="10" t="inlineStr">
        <is>
          <t>Regression beta vs STOXX Europe 600 (cross-check)</t>
        </is>
      </c>
      <c r="C7" s="58">
        <f>Assumptions!$C$34</f>
        <v>1.79</v>
      </c>
      <c r="D7" s="11" t="inlineStr">
        <is>
          <t>60 monthly returns; R² 0.33, standard error ~0.34, so the 95% range is ~1.1-2.5</t>
        </is>
      </c>
    </row>
    <row r="8">
      <c r="B8" s="10" t="inlineStr">
        <is>
          <t>Industry unlevered beta</t>
        </is>
      </c>
      <c r="C8" s="58">
        <f>Assumptions!$C$35</f>
        <v>1.39</v>
      </c>
      <c r="D8" s="11" t="inlineStr">
        <is>
          <t>Semiconductor equipment peers, cash-corrected (Damodaran)</t>
        </is>
      </c>
    </row>
    <row r="9">
      <c r="B9" s="10" t="inlineStr">
        <is>
          <t>ASML market D/E</t>
        </is>
      </c>
      <c r="C9" s="59">
        <f>C27/C26</f>
        <v>0.0059618411852702</v>
      </c>
      <c r="D9" s="11" t="inlineStr">
        <is>
          <t>Debt / market capitalisation</t>
        </is>
      </c>
    </row>
    <row r="10">
      <c r="B10" s="10" t="inlineStr">
        <is>
          <t>Relevered industry beta</t>
        </is>
      </c>
      <c r="C10" s="60">
        <f>C8*(1+(1-C20)*C9)</f>
        <v>1.3961489237616638</v>
      </c>
      <c r="D10" s="11" t="inlineStr">
        <is>
          <t>Hamada: Bu x (1 + (1 - t) x D/E)</t>
        </is>
      </c>
    </row>
    <row r="11">
      <c r="B11" s="10" t="inlineStr">
        <is>
          <t>Weight on regression beta</t>
        </is>
      </c>
      <c r="C11" s="51">
        <f>Assumptions!$C$36</f>
        <v>0.0</v>
      </c>
      <c r="D11" s="11" t="inlineStr">
        <is>
          <t>0% = pure bottom-up beta</t>
        </is>
      </c>
    </row>
    <row r="12">
      <c r="B12" s="3" t="inlineStr">
        <is>
          <t>Selected beta</t>
        </is>
      </c>
      <c r="C12" s="61">
        <f>C11*C7+(1-C11)*C10</f>
        <v>1.3961489237616638</v>
      </c>
      <c r="D12" s="11" t="inlineStr">
        <is>
          <t>Bottom-up beta: more stable than a single-stock regression</t>
        </is>
      </c>
    </row>
    <row r="13">
      <c r="B13" s="10" t="inlineStr">
        <is>
          <t>Equity risk premium</t>
        </is>
      </c>
      <c r="C13" s="57">
        <f>Assumptions!$C$33</f>
        <v>0.0423</v>
      </c>
      <c r="D13" s="11" t="inlineStr">
        <is>
          <t>Implied mature-market ERP; Netherlands has no country premium</t>
        </is>
      </c>
    </row>
    <row r="14">
      <c r="B14" s="3" t="inlineStr">
        <is>
          <t>Cost of equity (CAPM)</t>
        </is>
      </c>
      <c r="C14" s="62">
        <f>C6+C12*C13</f>
        <v>0.09415709947511838</v>
      </c>
      <c r="D14" s="11" t="inlineStr">
        <is>
          <t>Rf + beta x ERP</t>
        </is>
      </c>
    </row>
    <row r="16">
      <c r="B16" s="14" t="inlineStr">
        <is>
          <t>Cost of debt</t>
        </is>
      </c>
      <c r="C16" s="15" t="n"/>
      <c r="D16" s="15" t="n"/>
    </row>
    <row r="17">
      <c r="B17" s="10" t="inlineStr">
        <is>
          <t>Risk-free rate</t>
        </is>
      </c>
      <c r="C17" s="59">
        <f>C6</f>
        <v>0.0351</v>
      </c>
      <c r="D17" s="11" t="inlineStr"/>
    </row>
    <row r="18">
      <c r="B18" s="10" t="inlineStr">
        <is>
          <t>Credit spread (A1 / A+)</t>
        </is>
      </c>
      <c r="C18" s="57">
        <f>Assumptions!$C$37</f>
        <v>0.006</v>
      </c>
      <c r="D18" s="11" t="inlineStr">
        <is>
          <t>Spread for single-A EUR corporate bonds</t>
        </is>
      </c>
    </row>
    <row r="19">
      <c r="B19" s="10" t="inlineStr">
        <is>
          <t>Pre-tax cost of debt</t>
        </is>
      </c>
      <c r="C19" s="59">
        <f>C17+C18</f>
        <v>0.0411</v>
      </c>
      <c r="D19" s="11" t="inlineStr">
        <is>
          <t>Rf + spread</t>
        </is>
      </c>
    </row>
    <row r="20">
      <c r="B20" s="10" t="inlineStr">
        <is>
          <t>Tax rate (statutory)</t>
        </is>
      </c>
      <c r="C20" s="51">
        <f>Assumptions!$C$38</f>
        <v>0.258</v>
      </c>
      <c r="D20" s="11" t="inlineStr">
        <is>
          <t>Interest is deductible at the Dutch statutory rate</t>
        </is>
      </c>
    </row>
    <row r="21">
      <c r="B21" s="3" t="inlineStr">
        <is>
          <t>After-tax cost of debt</t>
        </is>
      </c>
      <c r="C21" s="62">
        <f>C19*(1-C20)</f>
        <v>0.030496199999999998</v>
      </c>
      <c r="D21" s="11" t="inlineStr">
        <is>
          <t>Kd x (1 - t)</t>
        </is>
      </c>
    </row>
    <row r="23">
      <c r="B23" s="14" t="inlineStr">
        <is>
          <t>Capital structure (market values)</t>
        </is>
      </c>
      <c r="C23" s="15" t="n"/>
      <c r="D23" s="15" t="n"/>
    </row>
    <row r="24">
      <c r="B24" s="10" t="inlineStr">
        <is>
          <t>Share price (EUR)</t>
        </is>
      </c>
      <c r="C24" s="63">
        <f>Assumptions!$C$16</f>
        <v>1611.4</v>
      </c>
      <c r="D24" s="11" t="inlineStr"/>
    </row>
    <row r="25">
      <c r="B25" s="10" t="inlineStr">
        <is>
          <t>Diluted shares (m)</t>
        </is>
      </c>
      <c r="C25" s="49">
        <f>Assumptions!$C$17</f>
        <v>384.9</v>
      </c>
      <c r="D25" s="11" t="inlineStr"/>
    </row>
    <row r="26">
      <c r="B26" s="10" t="inlineStr">
        <is>
          <t>Market value of equity (E)</t>
        </is>
      </c>
      <c r="C26" s="42">
        <f>C24*C25</f>
        <v>620227.86</v>
      </c>
      <c r="D26" s="11" t="inlineStr">
        <is>
          <t>Price x diluted shares</t>
        </is>
      </c>
    </row>
    <row r="27">
      <c r="B27" s="10" t="inlineStr">
        <is>
          <t>Debt (D)</t>
        </is>
      </c>
      <c r="C27" s="50">
        <f>Assumptions!$C$19</f>
        <v>3697.7</v>
      </c>
      <c r="D27" s="11" t="inlineStr">
        <is>
          <t>Book value as proxy for market value</t>
        </is>
      </c>
    </row>
    <row r="28">
      <c r="B28" s="10" t="inlineStr">
        <is>
          <t>Total capital (D + E)</t>
        </is>
      </c>
      <c r="C28" s="42">
        <f>C26+C27</f>
        <v>623925.5599999999</v>
      </c>
      <c r="D28" s="11" t="inlineStr"/>
    </row>
    <row r="29">
      <c r="B29" s="10" t="inlineStr">
        <is>
          <t>Equity weight E / (D + E)</t>
        </is>
      </c>
      <c r="C29" s="59">
        <f>C26/C28</f>
        <v>0.9940734917159029</v>
      </c>
      <c r="D29" s="11" t="inlineStr"/>
    </row>
    <row r="30">
      <c r="B30" s="10" t="inlineStr">
        <is>
          <t>Debt weight D / (D + E)</t>
        </is>
      </c>
      <c r="C30" s="59">
        <f>C27/C28</f>
        <v>0.005926508284097225</v>
      </c>
      <c r="D30" s="11" t="inlineStr"/>
    </row>
    <row r="32">
      <c r="B32" s="14" t="inlineStr">
        <is>
          <t>WACC</t>
        </is>
      </c>
      <c r="C32" s="15" t="n"/>
      <c r="D32" s="15" t="n"/>
    </row>
    <row r="33">
      <c r="B33" s="3" t="inlineStr">
        <is>
          <t>WACC (CAPM)</t>
        </is>
      </c>
      <c r="C33" s="62">
        <f>C29*C14+C30*C21</f>
        <v>0.09377981262700602</v>
      </c>
      <c r="D33" s="11" t="inlineStr">
        <is>
          <t>E/(D+E) x Ke + D/(D+E) x Kd x (1 - t)</t>
        </is>
      </c>
    </row>
    <row r="34">
      <c r="B34" s="10" t="inlineStr">
        <is>
          <t>Scenario adjustment</t>
        </is>
      </c>
      <c r="C34" s="57">
        <f>Assumptions!$E$147</f>
        <v>0.0</v>
      </c>
      <c r="D34" s="11" t="inlineStr">
        <is>
          <t>0 in Base; +/-0.5% in Bear/Bull</t>
        </is>
      </c>
    </row>
    <row r="35">
      <c r="B35" s="3" t="inlineStr">
        <is>
          <t>WACC applied in DCF</t>
        </is>
      </c>
      <c r="C35" s="64">
        <f>C33+C34</f>
        <v>0.09377981262700602</v>
      </c>
      <c r="D35" s="11" t="inlineStr"/>
    </row>
  </sheetData>
  <pageMargins left="0.75" right="0.75" top="1" bottom="1" header="0.5" footer="0.5"/>
  <pageSetup orientation="landscape" fitToWidth="1"/>
</worksheet>
</file>

<file path=xl/worksheets/sheet7.xml><?xml version="1.0" encoding="utf-8"?>
<worksheet xmlns="http://schemas.openxmlformats.org/spreadsheetml/2006/main">
  <sheetPr>
    <tabColor rgb="002B4BFF"/>
    <outlinePr summaryBelow="1" summaryRight="1"/>
    <pageSetUpPr fitToPage="1"/>
  </sheetPr>
  <dimension ref="B1:O4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6" customWidth="1" min="2" max="2"/>
    <col width="15" customWidth="1" min="3" max="3"/>
    <col width="15" customWidth="1" min="4" max="4"/>
    <col width="11.5" customWidth="1" min="5" max="5"/>
    <col width="11.5" customWidth="1" min="6" max="6"/>
    <col width="11.5" customWidth="1" min="7" max="7"/>
    <col width="11.5" customWidth="1" min="8" max="8"/>
    <col width="11.5" customWidth="1" min="9" max="9"/>
    <col width="11.5" customWidth="1" min="10" max="10"/>
    <col width="11.5" customWidth="1" min="11" max="11"/>
    <col width="11.5" customWidth="1" min="12" max="12"/>
    <col width="11.5" customWidth="1" min="13" max="13"/>
    <col width="11.5" customWidth="1" min="14" max="14"/>
    <col width="60" customWidth="1" min="15" max="15"/>
  </cols>
  <sheetData>
    <row r="1">
      <c r="B1" s="12" t="inlineStr">
        <is>
          <t>Discounted Cash Flow</t>
        </is>
      </c>
    </row>
    <row r="2">
      <c r="B2" s="13" t="inlineStr">
        <is>
          <t>Valuation at the valuation date on the 28-Jun-26 balance sheet. FY26 counts only H2 cash flow (stub); FY31-35 is the fade period; terminal value at end FY35.</t>
        </is>
      </c>
    </row>
    <row r="4">
      <c r="B4" s="25" t="inlineStr">
        <is>
          <t>EUR m</t>
        </is>
      </c>
      <c r="C4" s="26" t="n"/>
      <c r="D4" s="26" t="n"/>
      <c r="E4" s="47" t="inlineStr">
        <is>
          <t>FY26E</t>
        </is>
      </c>
      <c r="F4" s="47" t="inlineStr">
        <is>
          <t>FY27E</t>
        </is>
      </c>
      <c r="G4" s="47" t="inlineStr">
        <is>
          <t>FY28E</t>
        </is>
      </c>
      <c r="H4" s="47" t="inlineStr">
        <is>
          <t>FY29E</t>
        </is>
      </c>
      <c r="I4" s="47" t="inlineStr">
        <is>
          <t>FY30E</t>
        </is>
      </c>
      <c r="J4" s="53" t="inlineStr">
        <is>
          <t>FY31E</t>
        </is>
      </c>
      <c r="K4" s="53" t="inlineStr">
        <is>
          <t>FY32E</t>
        </is>
      </c>
      <c r="L4" s="53" t="inlineStr">
        <is>
          <t>FY33E</t>
        </is>
      </c>
      <c r="M4" s="53" t="inlineStr">
        <is>
          <t>FY34E</t>
        </is>
      </c>
      <c r="N4" s="53" t="inlineStr">
        <is>
          <t>FY35E</t>
        </is>
      </c>
    </row>
    <row r="5">
      <c r="B5" s="10" t="inlineStr">
        <is>
          <t>Period end</t>
        </is>
      </c>
      <c r="E5" s="65">
        <f>Assumptions!$C$7</f>
        <v>46387.0</v>
      </c>
      <c r="F5" s="65">
        <f>DATE(YEAR(E5)+1,12,31)</f>
        <v>46752.0</v>
      </c>
      <c r="G5" s="65">
        <f>DATE(YEAR(F5)+1,12,31)</f>
        <v>47118.0</v>
      </c>
      <c r="H5" s="65">
        <f>DATE(YEAR(G5)+1,12,31)</f>
        <v>47483.0</v>
      </c>
      <c r="I5" s="65">
        <f>DATE(YEAR(H5)+1,12,31)</f>
        <v>47848.0</v>
      </c>
      <c r="J5" s="65">
        <f>DATE(YEAR(I5)+1,12,31)</f>
        <v>48213.0</v>
      </c>
      <c r="K5" s="65">
        <f>DATE(YEAR(J5)+1,12,31)</f>
        <v>48579.0</v>
      </c>
      <c r="L5" s="65">
        <f>DATE(YEAR(K5)+1,12,31)</f>
        <v>48944.0</v>
      </c>
      <c r="M5" s="65">
        <f>DATE(YEAR(L5)+1,12,31)</f>
        <v>49309.0</v>
      </c>
      <c r="N5" s="65">
        <f>DATE(YEAR(M5)+1,12,31)</f>
        <v>49674.0</v>
      </c>
    </row>
    <row r="6">
      <c r="B6" s="10" t="inlineStr">
        <is>
          <t>Years from valuation date to period end</t>
        </is>
      </c>
      <c r="E6" s="66">
        <f>(E5-Assumptions!$C$5)/365</f>
        <v>0.2328767123287671</v>
      </c>
      <c r="F6" s="66">
        <f>E6+1</f>
        <v>1.2328767123287672</v>
      </c>
      <c r="G6" s="66">
        <f>F6+1</f>
        <v>2.232876712328767</v>
      </c>
      <c r="H6" s="66">
        <f>G6+1</f>
        <v>3.232876712328767</v>
      </c>
      <c r="I6" s="66">
        <f>H6+1</f>
        <v>4.232876712328768</v>
      </c>
      <c r="J6" s="66">
        <f>I6+1</f>
        <v>5.232876712328768</v>
      </c>
      <c r="K6" s="66">
        <f>J6+1</f>
        <v>6.232876712328768</v>
      </c>
      <c r="L6" s="66">
        <f>K6+1</f>
        <v>7.232876712328768</v>
      </c>
      <c r="M6" s="66">
        <f>L6+1</f>
        <v>8.232876712328768</v>
      </c>
      <c r="N6" s="66">
        <f>M6+1</f>
        <v>9.232876712328768</v>
      </c>
    </row>
    <row r="7">
      <c r="B7" s="10" t="inlineStr">
        <is>
          <t>Discount period (mid-year if switched on)</t>
        </is>
      </c>
      <c r="E7" s="66">
        <f>IF(Assumptions!$C$11=1,E6/2,E6)</f>
        <v>0.11643835616438356</v>
      </c>
      <c r="F7" s="66">
        <f>IF(Assumptions!$C$11=1,F6-0.5,F6)</f>
        <v>0.7328767123287672</v>
      </c>
      <c r="G7" s="66">
        <f>IF(Assumptions!$C$11=1,G6-0.5,G6)</f>
        <v>1.7328767123287672</v>
      </c>
      <c r="H7" s="66">
        <f>IF(Assumptions!$C$11=1,H6-0.5,H6)</f>
        <v>2.732876712328767</v>
      </c>
      <c r="I7" s="66">
        <f>IF(Assumptions!$C$11=1,I6-0.5,I6)</f>
        <v>3.7328767123287676</v>
      </c>
      <c r="J7" s="66">
        <f>IF(Assumptions!$C$11=1,J6-0.5,J6)</f>
        <v>4.732876712328768</v>
      </c>
      <c r="K7" s="66">
        <f>IF(Assumptions!$C$11=1,K6-0.5,K6)</f>
        <v>5.732876712328768</v>
      </c>
      <c r="L7" s="66">
        <f>IF(Assumptions!$C$11=1,L6-0.5,L6)</f>
        <v>6.732876712328768</v>
      </c>
      <c r="M7" s="66">
        <f>IF(Assumptions!$C$11=1,M6-0.5,M6)</f>
        <v>7.732876712328768</v>
      </c>
      <c r="N7" s="66">
        <f>IF(Assumptions!$C$11=1,N6-0.5,N6)</f>
        <v>8.732876712328768</v>
      </c>
      <c r="O7" s="11" t="inlineStr">
        <is>
          <t>FY26 stub: mid-point of remaining period; later years: mid-year</t>
        </is>
      </c>
    </row>
    <row r="9">
      <c r="B9" s="3" t="inlineStr">
        <is>
          <t>Unlevered free cash flow</t>
        </is>
      </c>
      <c r="E9" s="50">
        <f>Forecast!H34</f>
        <v>9010.245812999998</v>
      </c>
      <c r="F9" s="50">
        <f>Forecast!I34</f>
        <v>15743.186112000001</v>
      </c>
      <c r="G9" s="50">
        <f>Forecast!J34</f>
        <v>17616.468850944002</v>
      </c>
      <c r="H9" s="50">
        <f>Forecast!K34</f>
        <v>18897.236358392638</v>
      </c>
      <c r="I9" s="50">
        <f>Forecast!L34</f>
        <v>19931.853501573743</v>
      </c>
      <c r="J9" s="50">
        <f>Forecast!M34</f>
        <v>20931.456444094627</v>
      </c>
      <c r="K9" s="50">
        <f>Forecast!N34</f>
        <v>21835.942377434378</v>
      </c>
      <c r="L9" s="50">
        <f>Forecast!O34</f>
        <v>22627.9792771087</v>
      </c>
      <c r="M9" s="50">
        <f>Forecast!P34</f>
        <v>23291.705600480516</v>
      </c>
      <c r="N9" s="50">
        <f>Forecast!Q34</f>
        <v>23813.244576095243</v>
      </c>
    </row>
    <row r="10">
      <c r="B10" s="10" t="inlineStr">
        <is>
          <t>Less: H1-26 actual UFCF (already in 28-Jun cash)</t>
        </is>
      </c>
      <c r="E10" s="50">
        <f>-Assumptions!$C$21</f>
        <v>1290.9</v>
      </c>
      <c r="F10" s="42" t="n">
        <v>0</v>
      </c>
      <c r="G10" s="42" t="n">
        <v>0</v>
      </c>
      <c r="H10" s="42" t="n">
        <v>0</v>
      </c>
      <c r="I10" s="42" t="n">
        <v>0</v>
      </c>
      <c r="J10" s="42" t="n">
        <v>0</v>
      </c>
      <c r="K10" s="42" t="n">
        <v>0</v>
      </c>
      <c r="L10" s="42" t="n">
        <v>0</v>
      </c>
      <c r="M10" s="42" t="n">
        <v>0</v>
      </c>
      <c r="N10" s="42" t="n">
        <v>0</v>
      </c>
      <c r="O10" s="11" t="inlineStr">
        <is>
          <t>Avoids double counting: H1 cash flows are in the balance sheet already</t>
        </is>
      </c>
    </row>
    <row r="11">
      <c r="B11" s="3" t="inlineStr">
        <is>
          <t>Cash flow to discount</t>
        </is>
      </c>
      <c r="E11" s="41">
        <f>E9+E10</f>
        <v>10301.145812999997</v>
      </c>
      <c r="F11" s="41">
        <f>F9+F10</f>
        <v>15743.186112000001</v>
      </c>
      <c r="G11" s="41">
        <f>G9+G10</f>
        <v>17616.468850944002</v>
      </c>
      <c r="H11" s="41">
        <f>H9+H10</f>
        <v>18897.236358392638</v>
      </c>
      <c r="I11" s="41">
        <f>I9+I10</f>
        <v>19931.853501573743</v>
      </c>
      <c r="J11" s="41">
        <f>J9+J10</f>
        <v>20931.456444094627</v>
      </c>
      <c r="K11" s="41">
        <f>K9+K10</f>
        <v>21835.942377434378</v>
      </c>
      <c r="L11" s="41">
        <f>L9+L10</f>
        <v>22627.9792771087</v>
      </c>
      <c r="M11" s="41">
        <f>M9+M10</f>
        <v>23291.705600480516</v>
      </c>
      <c r="N11" s="41">
        <f>N9+N10</f>
        <v>23813.244576095243</v>
      </c>
    </row>
    <row r="12">
      <c r="B12" s="10" t="inlineStr">
        <is>
          <t>WACC</t>
        </is>
      </c>
      <c r="E12" s="57">
        <f>WACC!$C$35</f>
        <v>0.09377981262700602</v>
      </c>
      <c r="F12" s="57">
        <f>WACC!$C$35</f>
        <v>0.09377981262700602</v>
      </c>
      <c r="G12" s="57">
        <f>WACC!$C$35</f>
        <v>0.09377981262700602</v>
      </c>
      <c r="H12" s="57">
        <f>WACC!$C$35</f>
        <v>0.09377981262700602</v>
      </c>
      <c r="I12" s="57">
        <f>WACC!$C$35</f>
        <v>0.09377981262700602</v>
      </c>
      <c r="J12" s="57">
        <f>WACC!$C$35</f>
        <v>0.09377981262700602</v>
      </c>
      <c r="K12" s="57">
        <f>WACC!$C$35</f>
        <v>0.09377981262700602</v>
      </c>
      <c r="L12" s="57">
        <f>WACC!$C$35</f>
        <v>0.09377981262700602</v>
      </c>
      <c r="M12" s="57">
        <f>WACC!$C$35</f>
        <v>0.09377981262700602</v>
      </c>
      <c r="N12" s="57">
        <f>WACC!$C$35</f>
        <v>0.09377981262700602</v>
      </c>
    </row>
    <row r="13">
      <c r="B13" s="10" t="inlineStr">
        <is>
          <t>Discount factor</t>
        </is>
      </c>
      <c r="E13" s="67">
        <f>1/(1+E12)^E7</f>
        <v>0.9896168151356254</v>
      </c>
      <c r="F13" s="67">
        <f>1/(1+F12)^F7</f>
        <v>0.9364167646897859</v>
      </c>
      <c r="G13" s="67">
        <f>1/(1+G12)^G7</f>
        <v>0.8561291348399724</v>
      </c>
      <c r="H13" s="67">
        <f>1/(1+H12)^H7</f>
        <v>0.7827253026216935</v>
      </c>
      <c r="I13" s="67">
        <f>1/(1+I12)^I7</f>
        <v>0.7156150566920488</v>
      </c>
      <c r="J13" s="67">
        <f>1/(1+J12)^J7</f>
        <v>0.6542587899600261</v>
      </c>
      <c r="K13" s="67">
        <f>1/(1+K12)^K7</f>
        <v>0.5981631608181246</v>
      </c>
      <c r="L13" s="67">
        <f>1/(1+L12)^L7</f>
        <v>0.5468771263765375</v>
      </c>
      <c r="M13" s="67">
        <f>1/(1+M12)^M7</f>
        <v>0.4999883158046821</v>
      </c>
      <c r="N13" s="67">
        <f>1/(1+N12)^N7</f>
        <v>0.45711971461955025</v>
      </c>
    </row>
    <row r="14">
      <c r="B14" s="3" t="inlineStr">
        <is>
          <t>PV of cash flow</t>
        </is>
      </c>
      <c r="E14" s="43">
        <f>E11*E13</f>
        <v>10194.18711170874</v>
      </c>
      <c r="F14" s="43">
        <f>F11*F13</f>
        <v>14742.18340490821</v>
      </c>
      <c r="G14" s="43">
        <f>G11*G13</f>
        <v>15081.972236294012</v>
      </c>
      <c r="H14" s="43">
        <f>H11*H13</f>
        <v>14791.345047336546</v>
      </c>
      <c r="I14" s="43">
        <f>I11*I13</f>
        <v>14263.534473506306</v>
      </c>
      <c r="J14" s="43">
        <f>J11*J13</f>
        <v>13694.58936521434</v>
      </c>
      <c r="K14" s="43">
        <f>K11*K13</f>
        <v>13061.456311928581</v>
      </c>
      <c r="L14" s="43">
        <f>L11*L13</f>
        <v>12374.724282773048</v>
      </c>
      <c r="M14" s="43">
        <f>M11*M13</f>
        <v>11645.580655402735</v>
      </c>
      <c r="N14" s="43">
        <f>N11*N13</f>
        <v>10885.503564790211</v>
      </c>
    </row>
    <row r="15">
      <c r="B15" s="3" t="inlineStr">
        <is>
          <t>Sum of PV of cash flows FY26-FY35</t>
        </is>
      </c>
      <c r="C15" s="52">
        <f>SUM(E14:N14)</f>
        <v>130735.07645386274</v>
      </c>
    </row>
    <row r="16">
      <c r="B16" s="10" t="inlineStr">
        <is>
          <t xml:space="preserve">  of which explicit forecast FY26-FY30</t>
        </is>
      </c>
      <c r="C16" s="42">
        <f>SUM(E14:I14)</f>
        <v>69073.22227375381</v>
      </c>
    </row>
    <row r="17">
      <c r="B17" s="10" t="inlineStr">
        <is>
          <t xml:space="preserve">  of which fade period FY31-FY35</t>
        </is>
      </c>
      <c r="C17" s="42">
        <f>SUM(J14:N14)</f>
        <v>61661.854180108916</v>
      </c>
    </row>
    <row r="19">
      <c r="B19" s="25" t="inlineStr">
        <is>
          <t>Valuation</t>
        </is>
      </c>
      <c r="C19" s="26" t="inlineStr">
        <is>
          <t>Gordon Growth</t>
        </is>
      </c>
      <c r="D19" s="26" t="inlineStr">
        <is>
          <t>Exit Multiple</t>
        </is>
      </c>
      <c r="E19" s="26" t="inlineStr">
        <is>
          <t>Blended</t>
        </is>
      </c>
    </row>
    <row r="20">
      <c r="B20" s="10" t="inlineStr">
        <is>
          <t>Terminal-year UFCF (FY35E)</t>
        </is>
      </c>
      <c r="C20" s="42">
        <f>N9</f>
        <v>23813.244576095243</v>
      </c>
    </row>
    <row r="21">
      <c r="B21" s="10" t="inlineStr">
        <is>
          <t>Terminal growth rate</t>
        </is>
      </c>
      <c r="C21" s="57">
        <f>Assumptions!$E$137</f>
        <v>0.025</v>
      </c>
    </row>
    <row r="22">
      <c r="B22" s="10" t="inlineStr">
        <is>
          <t>Terminal-year EBITDA (FY35E)</t>
        </is>
      </c>
      <c r="D22" s="42">
        <f>Forecast!Q14</f>
        <v>33291.50375885137</v>
      </c>
    </row>
    <row r="23">
      <c r="B23" s="10" t="inlineStr">
        <is>
          <t>Exit EV/EBITDA multiple</t>
        </is>
      </c>
      <c r="D23" s="68">
        <f>Assumptions!$E$142</f>
        <v>20.0</v>
      </c>
    </row>
    <row r="24">
      <c r="B24" s="3" t="inlineStr">
        <is>
          <t>Terminal value at end FY35</t>
        </is>
      </c>
      <c r="C24" s="43">
        <f>C20*(1+C21)/(WACC!$C$35-C21)</f>
        <v>354879.9387236732</v>
      </c>
      <c r="D24" s="43">
        <f>D22*D23</f>
        <v>665830.0751770275</v>
      </c>
      <c r="F24" s="11" t="inlineStr">
        <is>
          <t>Gordon: FCF35 x (1 + g) / (WACC - g).  Exit: EBITDA35 x multiple</t>
        </is>
      </c>
    </row>
    <row r="25">
      <c r="B25" s="10" t="inlineStr">
        <is>
          <t>Discount period for terminal value</t>
        </is>
      </c>
      <c r="C25" s="66">
        <f>$N$6</f>
        <v>9.232876712328768</v>
      </c>
      <c r="D25" s="66">
        <f>$N$6</f>
        <v>9.232876712328768</v>
      </c>
      <c r="F25" s="11" t="inlineStr">
        <is>
          <t>Both terminal values discounted from end of FY35 (conservative)</t>
        </is>
      </c>
    </row>
    <row r="26">
      <c r="B26" s="10" t="inlineStr">
        <is>
          <t>PV of terminal value</t>
        </is>
      </c>
      <c r="C26" s="42">
        <f>C24/(1+WACC!$C$35)^C25</f>
        <v>155112.3757245504</v>
      </c>
      <c r="D26" s="42">
        <f>D24/(1+WACC!$C$35)^D25</f>
        <v>291023.7337196521</v>
      </c>
    </row>
    <row r="27">
      <c r="B27" s="10" t="inlineStr">
        <is>
          <t>PV of FY26-FY35 cash flows</t>
        </is>
      </c>
      <c r="C27" s="42">
        <f>$C$15</f>
        <v>130735.07645386274</v>
      </c>
      <c r="D27" s="42">
        <f>$C$15</f>
        <v>130735.07645386274</v>
      </c>
    </row>
    <row r="28">
      <c r="B28" s="3" t="inlineStr">
        <is>
          <t>Enterprise value</t>
        </is>
      </c>
      <c r="C28" s="41">
        <f>C27+C26</f>
        <v>285847.45217841316</v>
      </c>
      <c r="D28" s="41">
        <f>D27+D26</f>
        <v>421758.8101735149</v>
      </c>
      <c r="E28" s="41">
        <f>Assumptions!$C$12*C28+(1-Assumptions!$C$12)*D28</f>
        <v>353803.131175964</v>
      </c>
    </row>
    <row r="29">
      <c r="B29" s="10" t="inlineStr">
        <is>
          <t>Terminal value % of EV</t>
        </is>
      </c>
      <c r="C29" s="33">
        <f>C26/C28</f>
        <v>0.5426403997742691</v>
      </c>
      <c r="D29" s="33">
        <f>D26/D28</f>
        <v>0.690024077030952</v>
      </c>
    </row>
    <row r="30">
      <c r="B30" s="10" t="inlineStr">
        <is>
          <t>Plus: cash &amp; short-term investments</t>
        </is>
      </c>
      <c r="C30" s="50">
        <f>Assumptions!$C$18</f>
        <v>7581.5</v>
      </c>
      <c r="D30" s="50">
        <f>Assumptions!$C$18</f>
        <v>7581.5</v>
      </c>
    </row>
    <row r="31">
      <c r="B31" s="10" t="inlineStr">
        <is>
          <t>Less: total debt</t>
        </is>
      </c>
      <c r="C31" s="50">
        <f>Assumptions!$C$19</f>
        <v>3697.7</v>
      </c>
      <c r="D31" s="50">
        <f>Assumptions!$C$19</f>
        <v>3697.7</v>
      </c>
      <c r="F31" s="11" t="inlineStr">
        <is>
          <t>Bonds + commercial paper; US GAAP operating leases excluded (lease cost already in EBITDA)</t>
        </is>
      </c>
    </row>
    <row r="32">
      <c r="B32" s="10" t="inlineStr">
        <is>
          <t>Plus: non-operating investments</t>
        </is>
      </c>
      <c r="C32" s="50">
        <f>Assumptions!$C$20</f>
        <v>2310.7</v>
      </c>
      <c r="D32" s="50">
        <f>Assumptions!$C$20</f>
        <v>2310.7</v>
      </c>
      <c r="F32" s="11" t="inlineStr">
        <is>
          <t>Equity stakes (e.g. Mistral AI) and equity-method investments; their income is not in EBIT</t>
        </is>
      </c>
    </row>
    <row r="33">
      <c r="B33" s="3" t="inlineStr">
        <is>
          <t>Equity value</t>
        </is>
      </c>
      <c r="C33" s="41">
        <f>C28+C30-C31+C32</f>
        <v>292041.95217841316</v>
      </c>
      <c r="D33" s="41">
        <f>D28+D30-D31+D32</f>
        <v>427953.3101735149</v>
      </c>
      <c r="E33" s="41">
        <f>Assumptions!$C$12*C33+(1-Assumptions!$C$12)*D33</f>
        <v>359997.631175964</v>
      </c>
    </row>
    <row r="34">
      <c r="B34" s="10" t="inlineStr">
        <is>
          <t>Diluted shares (m)</t>
        </is>
      </c>
      <c r="C34" s="49">
        <f>Assumptions!$C$17</f>
        <v>384.9</v>
      </c>
      <c r="D34" s="49">
        <f>Assumptions!$C$17</f>
        <v>384.9</v>
      </c>
    </row>
    <row r="35">
      <c r="B35" s="3" t="inlineStr">
        <is>
          <t>Implied share price (EUR)</t>
        </is>
      </c>
      <c r="C35" s="69">
        <f>C33/C34</f>
        <v>758.7476024380701</v>
      </c>
      <c r="D35" s="69">
        <f>D33/D34</f>
        <v>1111.8558331346192</v>
      </c>
      <c r="E35" s="69">
        <f>Assumptions!$C$12*C35+(1-Assumptions!$C$12)*D35</f>
        <v>935.3017177863446</v>
      </c>
    </row>
    <row r="36">
      <c r="B36" s="10" t="inlineStr">
        <is>
          <t>Current share price (EUR)</t>
        </is>
      </c>
      <c r="C36" s="63">
        <f>Assumptions!$C$16</f>
        <v>1611.4</v>
      </c>
      <c r="D36" s="63">
        <f>Assumptions!$C$16</f>
        <v>1611.4</v>
      </c>
      <c r="E36" s="63">
        <f>Assumptions!$C$16</f>
        <v>1611.4</v>
      </c>
    </row>
    <row r="37">
      <c r="B37" s="3" t="inlineStr">
        <is>
          <t>Upside / (downside)</t>
        </is>
      </c>
      <c r="C37" s="46">
        <f>C35/C36-1</f>
        <v>-0.5291376427714596</v>
      </c>
      <c r="D37" s="46">
        <f>D35/D36-1</f>
        <v>-0.31000630933683804</v>
      </c>
      <c r="E37" s="46">
        <f>E35/E36-1</f>
        <v>-0.41957197605414887</v>
      </c>
    </row>
    <row r="38">
      <c r="B38" s="10" t="inlineStr">
        <is>
          <t>Cross-check: implied exit multiple / implied g</t>
        </is>
      </c>
      <c r="C38" s="70">
        <f>C24/D22</f>
        <v>10.65977497725135</v>
      </c>
      <c r="D38" s="59">
        <f>(D24*WACC!$C$35-C20)/(D24+C20)</f>
        <v>0.056011816556506014</v>
      </c>
      <c r="F38" s="11" t="inlineStr">
        <is>
          <t>Gordon TV / EBITDA (x)  |  g implied by exit TV</t>
        </is>
      </c>
    </row>
    <row r="39">
      <c r="B39" s="10" t="inlineStr">
        <is>
          <t>Reverse DCF: exit multiple implied by market price</t>
        </is>
      </c>
      <c r="D39" s="70">
        <f>((C36*C34-C30+C31-C32-C27)*(1+WACC!$C$35)^D25)/D22</f>
        <v>33.21366799669379</v>
      </c>
      <c r="F39" s="11" t="inlineStr">
        <is>
          <t>Multiple needed in the Exit method to justify today's price</t>
        </is>
      </c>
    </row>
    <row r="40">
      <c r="B40" s="10" t="inlineStr">
        <is>
          <t>Reverse DCF: perpetual growth implied by market price</t>
        </is>
      </c>
      <c r="C40" s="59">
        <f>(((C36*C34-C30+C31-C32-C27)*(1+WACC!$C$35)^C25)*WACC!$C$35-C20)/(((C36*C34-C30+C31-C32-C27)*(1+WACC!$C$35)^C25)+C20)</f>
        <v>0.07072059977908231</v>
      </c>
      <c r="F40" s="11" t="inlineStr">
        <is>
          <t>Perpetual growth needed in the Gordon method to justify today's price</t>
        </is>
      </c>
    </row>
  </sheetData>
  <pageMargins left="0.75" right="0.75" top="1" bottom="1" header="0.5" footer="0.5"/>
  <pageSetup orientation="landscape" fitToWidth="1"/>
</worksheet>
</file>

<file path=xl/worksheets/sheet8.xml><?xml version="1.0" encoding="utf-8"?>
<worksheet xmlns="http://schemas.openxmlformats.org/spreadsheetml/2006/main">
  <sheetPr>
    <tabColor rgb="002B4BFF"/>
    <outlinePr summaryBelow="1" summaryRight="1"/>
    <pageSetUpPr fitToPage="1"/>
  </sheetPr>
  <dimension ref="B1:N4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4" customWidth="1" min="12" max="12"/>
    <col width="22" customWidth="1" min="13" max="13"/>
    <col width="10" customWidth="1" min="14" max="14"/>
  </cols>
  <sheetData>
    <row r="1">
      <c r="B1" s="12" t="inlineStr">
        <is>
          <t>Sensitivity Analysis</t>
        </is>
      </c>
    </row>
    <row r="2">
      <c r="B2" s="13" t="inlineStr">
        <is>
          <t>Implied share price (EUR). Every cell is a live closed-form DCF; the grid centres on the live WACC, g and multiple. Base case boxed and shaded.</t>
        </is>
      </c>
    </row>
    <row r="4">
      <c r="B4" s="8" t="inlineStr">
        <is>
          <t>Table 1: WACC vs terminal growth (Gordon Growth method)</t>
        </is>
      </c>
      <c r="M4" s="8" t="inlineStr">
        <is>
          <t>Grid steps</t>
        </is>
      </c>
    </row>
    <row r="5">
      <c r="C5" s="3" t="inlineStr">
        <is>
          <t>WACC →</t>
        </is>
      </c>
      <c r="M5" s="10" t="inlineStr">
        <is>
          <t>WACC step</t>
        </is>
      </c>
      <c r="N5" s="22" t="n">
        <v>0.005</v>
      </c>
    </row>
    <row r="6">
      <c r="B6" s="71" t="inlineStr">
        <is>
          <t>g ↓  /  WACC →</t>
        </is>
      </c>
      <c r="C6" s="72">
        <f>$G$6+(-4)*$N$5</f>
        <v>0.07377981262700602</v>
      </c>
      <c r="D6" s="72">
        <f>$G$6+(-3)*$N$5</f>
        <v>0.07877981262700602</v>
      </c>
      <c r="E6" s="72">
        <f>$G$6+(-2)*$N$5</f>
        <v>0.08377981262700603</v>
      </c>
      <c r="F6" s="72">
        <f>$G$6+(-1)*$N$5</f>
        <v>0.08877981262700602</v>
      </c>
      <c r="G6" s="72">
        <f>WACC!$C$35</f>
        <v>0.09377981262700602</v>
      </c>
      <c r="H6" s="72">
        <f>$G$6+(1)*$N$5</f>
        <v>0.09877981262700603</v>
      </c>
      <c r="I6" s="72">
        <f>$G$6+(2)*$N$5</f>
        <v>0.10377981262700602</v>
      </c>
      <c r="J6" s="72">
        <f>$G$6+(3)*$N$5</f>
        <v>0.10877981262700602</v>
      </c>
      <c r="K6" s="72">
        <f>$G$6+(4)*$N$5</f>
        <v>0.11377981262700602</v>
      </c>
      <c r="M6" s="10" t="inlineStr">
        <is>
          <t>Terminal growth step</t>
        </is>
      </c>
      <c r="N6" s="22" t="n">
        <v>0.0025</v>
      </c>
    </row>
    <row r="7">
      <c r="B7" s="73">
        <f>$B$11+(-4)*$N$6</f>
        <v>0.015000000000000001</v>
      </c>
      <c r="C7" s="74">
        <f>(SUMPRODUCT(DCF!$E$11:$N$11,1/(1+C$6)^DCF!$E$7:$N$7)+DCF!$N$9*(1+$B7)/(C$6-$B7)/(1+C$6)^DCF!$N$6+(DCF!$C$30-DCF!$C$31+DCF!$C$32))/DCF!$C$34</f>
        <v>936.8074253053979</v>
      </c>
      <c r="D7" s="74">
        <f>(SUMPRODUCT(DCF!$E$11:$N$11,1/(1+D$6)^DCF!$E$7:$N$7)+DCF!$N$9*(1+$B7)/(D$6-$B7)/(1+D$6)^DCF!$N$6+(DCF!$C$30-DCF!$C$31+DCF!$C$32))/DCF!$C$34</f>
        <v>864.8032749475832</v>
      </c>
      <c r="E7" s="74">
        <f>(SUMPRODUCT(DCF!$E$11:$N$11,1/(1+E$6)^DCF!$E$7:$N$7)+DCF!$N$9*(1+$B7)/(E$6-$B7)/(1+E$6)^DCF!$N$6+(DCF!$C$30-DCF!$C$31+DCF!$C$32))/DCF!$C$34</f>
        <v>803.373365759793</v>
      </c>
      <c r="F7" s="74">
        <f>(SUMPRODUCT(DCF!$E$11:$N$11,1/(1+F$6)^DCF!$E$7:$N$7)+DCF!$N$9*(1+$B7)/(F$6-$B7)/(1+F$6)^DCF!$N$6+(DCF!$C$30-DCF!$C$31+DCF!$C$32))/DCF!$C$34</f>
        <v>750.3618485197494</v>
      </c>
      <c r="G7" s="74">
        <f>(SUMPRODUCT(DCF!$E$11:$N$11,1/(1+G$6)^DCF!$E$7:$N$7)+DCF!$N$9*(1+$B7)/(G$6-$B7)/(1+G$6)^DCF!$N$6+(DCF!$C$30-DCF!$C$31+DCF!$C$32))/DCF!$C$34</f>
        <v>704.1605513823803</v>
      </c>
      <c r="H7" s="74">
        <f>(SUMPRODUCT(DCF!$E$11:$N$11,1/(1+H$6)^DCF!$E$7:$N$7)+DCF!$N$9*(1+$B7)/(H$6-$B7)/(1+H$6)^DCF!$N$6+(DCF!$C$30-DCF!$C$31+DCF!$C$32))/DCF!$C$34</f>
        <v>663.5455286795972</v>
      </c>
      <c r="I7" s="74">
        <f>(SUMPRODUCT(DCF!$E$11:$N$11,1/(1+I$6)^DCF!$E$7:$N$7)+DCF!$N$9*(1+$B7)/(I$6-$B7)/(1+I$6)^DCF!$N$6+(DCF!$C$30-DCF!$C$31+DCF!$C$32))/DCF!$C$34</f>
        <v>627.5688438657514</v>
      </c>
      <c r="J7" s="74">
        <f>(SUMPRODUCT(DCF!$E$11:$N$11,1/(1+J$6)^DCF!$E$7:$N$7)+DCF!$N$9*(1+$B7)/(J$6-$B7)/(1+J$6)^DCF!$N$6+(DCF!$C$30-DCF!$C$31+DCF!$C$32))/DCF!$C$34</f>
        <v>595.4849723041558</v>
      </c>
      <c r="K7" s="74">
        <f>(SUMPRODUCT(DCF!$E$11:$N$11,1/(1+K$6)^DCF!$E$7:$N$7)+DCF!$N$9*(1+$B7)/(K$6-$B7)/(1+K$6)^DCF!$N$6+(DCF!$C$30-DCF!$C$31+DCF!$C$32))/DCF!$C$34</f>
        <v>566.6995571763505</v>
      </c>
      <c r="M7" s="10" t="inlineStr">
        <is>
          <t>Exit multiple step</t>
        </is>
      </c>
      <c r="N7" s="36" t="n">
        <v>2</v>
      </c>
    </row>
    <row r="8">
      <c r="B8" s="73">
        <f>$B$11+(-3)*$N$6</f>
        <v>0.0175</v>
      </c>
      <c r="C8" s="74">
        <f>(SUMPRODUCT(DCF!$E$11:$N$11,1/(1+C$6)^DCF!$E$7:$N$7)+DCF!$N$9*(1+$B8)/(C$6-$B8)/(1+C$6)^DCF!$N$6+(DCF!$C$30-DCF!$C$31+DCF!$C$32))/DCF!$C$34</f>
        <v>962.8274984371322</v>
      </c>
      <c r="D8" s="74">
        <f>(SUMPRODUCT(DCF!$E$11:$N$11,1/(1+D$6)^DCF!$E$7:$N$7)+DCF!$N$9*(1+$B8)/(D$6-$B8)/(1+D$6)^DCF!$N$6+(DCF!$C$30-DCF!$C$31+DCF!$C$32))/DCF!$C$34</f>
        <v>886.000461934755</v>
      </c>
      <c r="E8" s="74">
        <f>(SUMPRODUCT(DCF!$E$11:$N$11,1/(1+E$6)^DCF!$E$7:$N$7)+DCF!$N$9*(1+$B8)/(E$6-$B8)/(1+E$6)^DCF!$N$6+(DCF!$C$30-DCF!$C$31+DCF!$C$32))/DCF!$C$34</f>
        <v>820.8679245179078</v>
      </c>
      <c r="F8" s="74">
        <f>(SUMPRODUCT(DCF!$E$11:$N$11,1/(1+F$6)^DCF!$E$7:$N$7)+DCF!$N$9*(1+$B8)/(F$6-$B8)/(1+F$6)^DCF!$N$6+(DCF!$C$30-DCF!$C$31+DCF!$C$32))/DCF!$C$34</f>
        <v>764.962882572398</v>
      </c>
      <c r="G8" s="74">
        <f>(SUMPRODUCT(DCF!$E$11:$N$11,1/(1+G$6)^DCF!$E$7:$N$7)+DCF!$N$9*(1+$B8)/(G$6-$B8)/(1+G$6)^DCF!$N$6+(DCF!$C$30-DCF!$C$31+DCF!$C$32))/DCF!$C$34</f>
        <v>716.4655342283328</v>
      </c>
      <c r="H8" s="74">
        <f>(SUMPRODUCT(DCF!$E$11:$N$11,1/(1+H$6)^DCF!$E$7:$N$7)+DCF!$N$9*(1+$B8)/(H$6-$B8)/(1+H$6)^DCF!$N$6+(DCF!$C$30-DCF!$C$31+DCF!$C$32))/DCF!$C$34</f>
        <v>674.0041894065126</v>
      </c>
      <c r="I8" s="74">
        <f>(SUMPRODUCT(DCF!$E$11:$N$11,1/(1+I$6)^DCF!$E$7:$N$7)+DCF!$N$9*(1+$B8)/(I$6-$B8)/(1+I$6)^DCF!$N$6+(DCF!$C$30-DCF!$C$31+DCF!$C$32))/DCF!$C$34</f>
        <v>636.5254062372281</v>
      </c>
      <c r="J8" s="74">
        <f>(SUMPRODUCT(DCF!$E$11:$N$11,1/(1+J$6)^DCF!$E$7:$N$7)+DCF!$N$9*(1+$B8)/(J$6-$B8)/(1+J$6)^DCF!$N$6+(DCF!$C$30-DCF!$C$31+DCF!$C$32))/DCF!$C$34</f>
        <v>603.2068098279481</v>
      </c>
      <c r="K8" s="74">
        <f>(SUMPRODUCT(DCF!$E$11:$N$11,1/(1+K$6)^DCF!$E$7:$N$7)+DCF!$N$9*(1+$B8)/(K$6-$B8)/(1+K$6)^DCF!$N$6+(DCF!$C$30-DCF!$C$31+DCF!$C$32))/DCF!$C$34</f>
        <v>573.3970772316158</v>
      </c>
    </row>
    <row r="9">
      <c r="B9" s="73">
        <f>$B$11+(-2)*$N$6</f>
        <v>0.02</v>
      </c>
      <c r="C9" s="74">
        <f>(SUMPRODUCT(DCF!$E$11:$N$11,1/(1+C$6)^DCF!$E$7:$N$7)+DCF!$N$9*(1+$B9)/(C$6-$B9)/(1+C$6)^DCF!$N$6+(DCF!$C$30-DCF!$C$31+DCF!$C$32))/DCF!$C$34</f>
        <v>991.2667017090364</v>
      </c>
      <c r="D9" s="74">
        <f>(SUMPRODUCT(DCF!$E$11:$N$11,1/(1+D$6)^DCF!$E$7:$N$7)+DCF!$N$9*(1+$B9)/(D$6-$B9)/(1+D$6)^DCF!$N$6+(DCF!$C$30-DCF!$C$31+DCF!$C$32))/DCF!$C$34</f>
        <v>909.0007498540169</v>
      </c>
      <c r="E9" s="74">
        <f>(SUMPRODUCT(DCF!$E$11:$N$11,1/(1+E$6)^DCF!$E$7:$N$7)+DCF!$N$9*(1+$B9)/(E$6-$B9)/(1+E$6)^DCF!$N$6+(DCF!$C$30-DCF!$C$31+DCF!$C$32))/DCF!$C$34</f>
        <v>839.7339641598272</v>
      </c>
      <c r="F9" s="74">
        <f>(SUMPRODUCT(DCF!$E$11:$N$11,1/(1+F$6)^DCF!$E$7:$N$7)+DCF!$N$9*(1+$B9)/(F$6-$B9)/(1+F$6)^DCF!$N$6+(DCF!$C$30-DCF!$C$31+DCF!$C$32))/DCF!$C$34</f>
        <v>780.6253497327398</v>
      </c>
      <c r="G9" s="74">
        <f>(SUMPRODUCT(DCF!$E$11:$N$11,1/(1+G$6)^DCF!$E$7:$N$7)+DCF!$N$9*(1+$B9)/(G$6-$B9)/(1+G$6)^DCF!$N$6+(DCF!$C$30-DCF!$C$31+DCF!$C$32))/DCF!$C$34</f>
        <v>729.6044161049161</v>
      </c>
      <c r="H9" s="74">
        <f>(SUMPRODUCT(DCF!$E$11:$N$11,1/(1+H$6)^DCF!$E$7:$N$7)+DCF!$N$9*(1+$B9)/(H$6-$B9)/(1+H$6)^DCF!$N$6+(DCF!$C$30-DCF!$C$31+DCF!$C$32))/DCF!$C$34</f>
        <v>685.1266407910953</v>
      </c>
      <c r="I9" s="74">
        <f>(SUMPRODUCT(DCF!$E$11:$N$11,1/(1+I$6)^DCF!$E$7:$N$7)+DCF!$N$9*(1+$B9)/(I$6-$B9)/(1+I$6)^DCF!$N$6+(DCF!$C$30-DCF!$C$31+DCF!$C$32))/DCF!$C$34</f>
        <v>646.0164984727994</v>
      </c>
      <c r="J9" s="74">
        <f>(SUMPRODUCT(DCF!$E$11:$N$11,1/(1+J$6)^DCF!$E$7:$N$7)+DCF!$N$9*(1+$B9)/(J$6-$B9)/(1+J$6)^DCF!$N$6+(DCF!$C$30-DCF!$C$31+DCF!$C$32))/DCF!$C$34</f>
        <v>611.3635343657643</v>
      </c>
      <c r="K9" s="74">
        <f>(SUMPRODUCT(DCF!$E$11:$N$11,1/(1+K$6)^DCF!$E$7:$N$7)+DCF!$N$9*(1+$B9)/(K$6-$B9)/(1+K$6)^DCF!$N$6+(DCF!$C$30-DCF!$C$31+DCF!$C$32))/DCF!$C$34</f>
        <v>580.4516848021817</v>
      </c>
    </row>
    <row r="10">
      <c r="B10" s="73">
        <f>$B$11+(-1)*$N$6</f>
        <v>0.022500000000000003</v>
      </c>
      <c r="C10" s="74">
        <f>(SUMPRODUCT(DCF!$E$11:$N$11,1/(1+C$6)^DCF!$E$7:$N$7)+DCF!$N$9*(1+$B10)/(C$6-$B10)/(1+C$6)^DCF!$N$6+(DCF!$C$30-DCF!$C$31+DCF!$C$32))/DCF!$C$34</f>
        <v>1022.4788483493927</v>
      </c>
      <c r="D10" s="74">
        <f>(SUMPRODUCT(DCF!$E$11:$N$11,1/(1+D$6)^DCF!$E$7:$N$7)+DCF!$N$9*(1+$B10)/(D$6-$B10)/(1+D$6)^DCF!$N$6+(DCF!$C$30-DCF!$C$31+DCF!$C$32))/DCF!$C$34</f>
        <v>934.044424810803</v>
      </c>
      <c r="E10" s="74">
        <f>(SUMPRODUCT(DCF!$E$11:$N$11,1/(1+E$6)^DCF!$E$7:$N$7)+DCF!$N$9*(1+$B10)/(E$6-$B10)/(1+E$6)^DCF!$N$6+(DCF!$C$30-DCF!$C$31+DCF!$C$32))/DCF!$C$34</f>
        <v>860.1393394192321</v>
      </c>
      <c r="F10" s="74">
        <f>(SUMPRODUCT(DCF!$E$11:$N$11,1/(1+F$6)^DCF!$E$7:$N$7)+DCF!$N$9*(1+$B10)/(F$6-$B10)/(1+F$6)^DCF!$N$6+(DCF!$C$30-DCF!$C$31+DCF!$C$32))/DCF!$C$34</f>
        <v>797.469358190466</v>
      </c>
      <c r="G10" s="74">
        <f>(SUMPRODUCT(DCF!$E$11:$N$11,1/(1+G$6)^DCF!$E$7:$N$7)+DCF!$N$9*(1+$B10)/(G$6-$B10)/(1+G$6)^DCF!$N$6+(DCF!$C$30-DCF!$C$31+DCF!$C$32))/DCF!$C$34</f>
        <v>743.6649391441478</v>
      </c>
      <c r="H10" s="74">
        <f>(SUMPRODUCT(DCF!$E$11:$N$11,1/(1+H$6)^DCF!$E$7:$N$7)+DCF!$N$9*(1+$B10)/(H$6-$B10)/(1+H$6)^DCF!$N$6+(DCF!$C$30-DCF!$C$31+DCF!$C$32))/DCF!$C$34</f>
        <v>696.9781481999086</v>
      </c>
      <c r="I10" s="74">
        <f>(SUMPRODUCT(DCF!$E$11:$N$11,1/(1+I$6)^DCF!$E$7:$N$7)+DCF!$N$9*(1+$B10)/(I$6-$B10)/(1+I$6)^DCF!$N$6+(DCF!$C$30-DCF!$C$31+DCF!$C$32))/DCF!$C$34</f>
        <v>656.091443692821</v>
      </c>
      <c r="J10" s="74">
        <f>(SUMPRODUCT(DCF!$E$11:$N$11,1/(1+J$6)^DCF!$E$7:$N$7)+DCF!$N$9*(1+$B10)/(J$6-$B10)/(1+J$6)^DCF!$N$6+(DCF!$C$30-DCF!$C$31+DCF!$C$32))/DCF!$C$34</f>
        <v>619.9929491128811</v>
      </c>
      <c r="K10" s="74">
        <f>(SUMPRODUCT(DCF!$E$11:$N$11,1/(1+K$6)^DCF!$E$7:$N$7)+DCF!$N$9*(1+$B10)/(K$6-$B10)/(1+K$6)^DCF!$N$6+(DCF!$C$30-DCF!$C$31+DCF!$C$32))/DCF!$C$34</f>
        <v>587.8927199610355</v>
      </c>
    </row>
    <row r="11">
      <c r="B11" s="73">
        <f>Assumptions!$E$137</f>
        <v>0.025</v>
      </c>
      <c r="C11" s="74">
        <f>(SUMPRODUCT(DCF!$E$11:$N$11,1/(1+C$6)^DCF!$E$7:$N$7)+DCF!$N$9*(1+$B11)/(C$6-$B11)/(1+C$6)^DCF!$N$6+(DCF!$C$30-DCF!$C$31+DCF!$C$32))/DCF!$C$34</f>
        <v>1056.890284302217</v>
      </c>
      <c r="D11" s="74">
        <f>(SUMPRODUCT(DCF!$E$11:$N$11,1/(1+D$6)^DCF!$E$7:$N$7)+DCF!$N$9*(1+$B11)/(D$6-$B11)/(1+D$6)^DCF!$N$6+(DCF!$C$30-DCF!$C$31+DCF!$C$32))/DCF!$C$34</f>
        <v>961.4164525205521</v>
      </c>
      <c r="E11" s="74">
        <f>(SUMPRODUCT(DCF!$E$11:$N$11,1/(1+E$6)^DCF!$E$7:$N$7)+DCF!$N$9*(1+$B11)/(E$6-$B11)/(1+E$6)^DCF!$N$6+(DCF!$C$30-DCF!$C$31+DCF!$C$32))/DCF!$C$34</f>
        <v>882.280461557322</v>
      </c>
      <c r="F11" s="74">
        <f>(SUMPRODUCT(DCF!$E$11:$N$11,1/(1+F$6)^DCF!$E$7:$N$7)+DCF!$N$9*(1+$B11)/(F$6-$B11)/(1+F$6)^DCF!$N$6+(DCF!$C$30-DCF!$C$31+DCF!$C$32))/DCF!$C$34</f>
        <v>815.6338478289875</v>
      </c>
      <c r="G11" s="75">
        <f>(SUMPRODUCT(DCF!$E$11:$N$11,1/(1+G$6)^DCF!$E$7:$N$7)+DCF!$N$9*(1+$B11)/(G$6-$B11)/(1+G$6)^DCF!$N$6+(DCF!$C$30-DCF!$C$31+DCF!$C$32))/DCF!$C$34</f>
        <v>758.7476024380701</v>
      </c>
      <c r="H11" s="74">
        <f>(SUMPRODUCT(DCF!$E$11:$N$11,1/(1+H$6)^DCF!$E$7:$N$7)+DCF!$N$9*(1+$B11)/(H$6-$B11)/(1+H$6)^DCF!$N$6+(DCF!$C$30-DCF!$C$31+DCF!$C$32))/DCF!$C$34</f>
        <v>709.6328229648609</v>
      </c>
      <c r="I11" s="74">
        <f>(SUMPRODUCT(DCF!$E$11:$N$11,1/(1+I$6)^DCF!$E$7:$N$7)+DCF!$N$9*(1+$B11)/(I$6-$B11)/(1+I$6)^DCF!$N$6+(DCF!$C$30-DCF!$C$31+DCF!$C$32))/DCF!$C$34</f>
        <v>666.8058259008261</v>
      </c>
      <c r="J11" s="74">
        <f>(SUMPRODUCT(DCF!$E$11:$N$11,1/(1+J$6)^DCF!$E$7:$N$7)+DCF!$N$9*(1+$B11)/(J$6-$B11)/(1+J$6)^DCF!$N$6+(DCF!$C$30-DCF!$C$31+DCF!$C$32))/DCF!$C$34</f>
        <v>629.1373694727183</v>
      </c>
      <c r="K11" s="74">
        <f>(SUMPRODUCT(DCF!$E$11:$N$11,1/(1+K$6)^DCF!$E$7:$N$7)+DCF!$N$9*(1+$B11)/(K$6-$B11)/(1+K$6)^DCF!$N$6+(DCF!$C$30-DCF!$C$31+DCF!$C$32))/DCF!$C$34</f>
        <v>595.7528275947387</v>
      </c>
    </row>
    <row r="12">
      <c r="B12" s="73">
        <f>$B$11+(1)*$N$6</f>
        <v>0.0275</v>
      </c>
      <c r="C12" s="74">
        <f>(SUMPRODUCT(DCF!$E$11:$N$11,1/(1+C$6)^DCF!$E$7:$N$7)+DCF!$N$9*(1+$B12)/(C$6-$B12)/(1+C$6)^DCF!$N$6+(DCF!$C$30-DCF!$C$31+DCF!$C$32))/DCF!$C$34</f>
        <v>1095.0194790357614</v>
      </c>
      <c r="D12" s="74">
        <f>(SUMPRODUCT(DCF!$E$11:$N$11,1/(1+D$6)^DCF!$E$7:$N$7)+DCF!$N$9*(1+$B12)/(D$6-$B12)/(1+D$6)^DCF!$N$6+(DCF!$C$30-DCF!$C$31+DCF!$C$32))/DCF!$C$34</f>
        <v>991.4573694390865</v>
      </c>
      <c r="E12" s="74">
        <f>(SUMPRODUCT(DCF!$E$11:$N$11,1/(1+E$6)^DCF!$E$7:$N$7)+DCF!$N$9*(1+$B12)/(E$6-$B12)/(1+E$6)^DCF!$N$6+(DCF!$C$30-DCF!$C$31+DCF!$C$32))/DCF!$C$34</f>
        <v>906.3886408962625</v>
      </c>
      <c r="F12" s="74">
        <f>(SUMPRODUCT(DCF!$E$11:$N$11,1/(1+F$6)^DCF!$E$7:$N$7)+DCF!$N$9*(1+$B12)/(F$6-$B12)/(1+F$6)^DCF!$N$6+(DCF!$C$30-DCF!$C$31+DCF!$C$32))/DCF!$C$34</f>
        <v>835.2804315585182</v>
      </c>
      <c r="G12" s="74">
        <f>(SUMPRODUCT(DCF!$E$11:$N$11,1/(1+G$6)^DCF!$E$7:$N$7)+DCF!$N$9*(1+$B12)/(G$6-$B12)/(1+G$6)^DCF!$N$6+(DCF!$C$30-DCF!$C$31+DCF!$C$32))/DCF!$C$34</f>
        <v>774.9680679296845</v>
      </c>
      <c r="H12" s="74">
        <f>(SUMPRODUCT(DCF!$E$11:$N$11,1/(1+H$6)^DCF!$E$7:$N$7)+DCF!$N$9*(1+$B12)/(H$6-$B12)/(1+H$6)^DCF!$N$6+(DCF!$C$30-DCF!$C$31+DCF!$C$32))/DCF!$C$34</f>
        <v>723.1751736578614</v>
      </c>
      <c r="I12" s="74">
        <f>(SUMPRODUCT(DCF!$E$11:$N$11,1/(1+I$6)^DCF!$E$7:$N$7)+DCF!$N$9*(1+$B12)/(I$6-$B12)/(1+I$6)^DCF!$N$6+(DCF!$C$30-DCF!$C$31+DCF!$C$32))/DCF!$C$34</f>
        <v>678.2225159566755</v>
      </c>
      <c r="J12" s="74">
        <f>(SUMPRODUCT(DCF!$E$11:$N$11,1/(1+J$6)^DCF!$E$7:$N$7)+DCF!$N$9*(1+$B12)/(J$6-$B12)/(1+J$6)^DCF!$N$6+(DCF!$C$30-DCF!$C$31+DCF!$C$32))/DCF!$C$34</f>
        <v>638.844316988087</v>
      </c>
      <c r="K12" s="74">
        <f>(SUMPRODUCT(DCF!$E$11:$N$11,1/(1+K$6)^DCF!$E$7:$N$7)+DCF!$N$9*(1+$B12)/(K$6-$B12)/(1+K$6)^DCF!$N$6+(DCF!$C$30-DCF!$C$31+DCF!$C$32))/DCF!$C$34</f>
        <v>604.0684361964194</v>
      </c>
    </row>
    <row r="13">
      <c r="B13" s="73">
        <f>$B$11+(2)*$N$6</f>
        <v>0.030000000000000002</v>
      </c>
      <c r="C13" s="74">
        <f>(SUMPRODUCT(DCF!$E$11:$N$11,1/(1+C$6)^DCF!$E$7:$N$7)+DCF!$N$9*(1+$B13)/(C$6-$B13)/(1+C$6)^DCF!$N$6+(DCF!$C$30-DCF!$C$31+DCF!$C$32))/DCF!$C$34</f>
        <v>1137.5033286256883</v>
      </c>
      <c r="D13" s="74">
        <f>(SUMPRODUCT(DCF!$E$11:$N$11,1/(1+D$6)^DCF!$E$7:$N$7)+DCF!$N$9*(1+$B13)/(D$6-$B13)/(1+D$6)^DCF!$N$6+(DCF!$C$30-DCF!$C$31+DCF!$C$32))/DCF!$C$34</f>
        <v>1024.5775229619355</v>
      </c>
      <c r="E13" s="74">
        <f>(SUMPRODUCT(DCF!$E$11:$N$11,1/(1+E$6)^DCF!$E$7:$N$7)+DCF!$N$9*(1+$B13)/(E$6-$B13)/(1+E$6)^DCF!$N$6+(DCF!$C$30-DCF!$C$31+DCF!$C$32))/DCF!$C$34</f>
        <v>932.7381983807668</v>
      </c>
      <c r="F13" s="74">
        <f>(SUMPRODUCT(DCF!$E$11:$N$11,1/(1+F$6)^DCF!$E$7:$N$7)+DCF!$N$9*(1+$B13)/(F$6-$B13)/(1+F$6)^DCF!$N$6+(DCF!$C$30-DCF!$C$31+DCF!$C$32))/DCF!$C$34</f>
        <v>856.5982169176116</v>
      </c>
      <c r="G13" s="74">
        <f>(SUMPRODUCT(DCF!$E$11:$N$11,1/(1+G$6)^DCF!$E$7:$N$7)+DCF!$N$9*(1+$B13)/(G$6-$B13)/(1+G$6)^DCF!$N$6+(DCF!$C$30-DCF!$C$31+DCF!$C$32))/DCF!$C$34</f>
        <v>792.4601321312601</v>
      </c>
      <c r="H13" s="74">
        <f>(SUMPRODUCT(DCF!$E$11:$N$11,1/(1+H$6)^DCF!$E$7:$N$7)+DCF!$N$9*(1+$B13)/(H$6-$B13)/(1+H$6)^DCF!$N$6+(DCF!$C$30-DCF!$C$31+DCF!$C$32))/DCF!$C$34</f>
        <v>737.7019956786944</v>
      </c>
      <c r="I13" s="74">
        <f>(SUMPRODUCT(DCF!$E$11:$N$11,1/(1+I$6)^DCF!$E$7:$N$7)+DCF!$N$9*(1+$B13)/(I$6-$B13)/(1+I$6)^DCF!$N$6+(DCF!$C$30-DCF!$C$31+DCF!$C$32))/DCF!$C$34</f>
        <v>690.4129061378942</v>
      </c>
      <c r="J13" s="74">
        <f>(SUMPRODUCT(DCF!$E$11:$N$11,1/(1+J$6)^DCF!$E$7:$N$7)+DCF!$N$9*(1+$B13)/(J$6-$B13)/(1+J$6)^DCF!$N$6+(DCF!$C$30-DCF!$C$31+DCF!$C$32))/DCF!$C$34</f>
        <v>649.167345399797</v>
      </c>
      <c r="K13" s="74">
        <f>(SUMPRODUCT(DCF!$E$11:$N$11,1/(1+K$6)^DCF!$E$7:$N$7)+DCF!$N$9*(1+$B13)/(K$6-$B13)/(1+K$6)^DCF!$N$6+(DCF!$C$30-DCF!$C$31+DCF!$C$32))/DCF!$C$34</f>
        <v>612.8803223822182</v>
      </c>
    </row>
    <row r="14">
      <c r="B14" s="73">
        <f>$B$11+(3)*$N$6</f>
        <v>0.0325</v>
      </c>
      <c r="C14" s="74">
        <f>(SUMPRODUCT(DCF!$E$11:$N$11,1/(1+C$6)^DCF!$E$7:$N$7)+DCF!$N$9*(1+$B14)/(C$6-$B14)/(1+C$6)^DCF!$N$6+(DCF!$C$30-DCF!$C$31+DCF!$C$32))/DCF!$C$34</f>
        <v>1185.1330166880184</v>
      </c>
      <c r="D14" s="74">
        <f>(SUMPRODUCT(DCF!$E$11:$N$11,1/(1+D$6)^DCF!$E$7:$N$7)+DCF!$N$9*(1+$B14)/(D$6-$B14)/(1+D$6)^DCF!$N$6+(DCF!$C$30-DCF!$C$31+DCF!$C$32))/DCF!$C$34</f>
        <v>1061.275927091564</v>
      </c>
      <c r="E14" s="74">
        <f>(SUMPRODUCT(DCF!$E$11:$N$11,1/(1+E$6)^DCF!$E$7:$N$7)+DCF!$N$9*(1+$B14)/(E$6-$B14)/(1+E$6)^DCF!$N$6+(DCF!$C$30-DCF!$C$31+DCF!$C$32))/DCF!$C$34</f>
        <v>961.6569498750233</v>
      </c>
      <c r="F14" s="74">
        <f>(SUMPRODUCT(DCF!$E$11:$N$11,1/(1+F$6)^DCF!$E$7:$N$7)+DCF!$N$9*(1+$B14)/(F$6-$B14)/(1+F$6)^DCF!$N$6+(DCF!$C$30-DCF!$C$31+DCF!$C$32))/DCF!$C$34</f>
        <v>879.8099127540173</v>
      </c>
      <c r="G14" s="74">
        <f>(SUMPRODUCT(DCF!$E$11:$N$11,1/(1+G$6)^DCF!$E$7:$N$7)+DCF!$N$9*(1+$B14)/(G$6-$B14)/(1+G$6)^DCF!$N$6+(DCF!$C$30-DCF!$C$31+DCF!$C$32))/DCF!$C$34</f>
        <v>811.3794252563349</v>
      </c>
      <c r="H14" s="74">
        <f>(SUMPRODUCT(DCF!$E$11:$N$11,1/(1+H$6)^DCF!$E$7:$N$7)+DCF!$N$9*(1+$B14)/(H$6-$B14)/(1+H$6)^DCF!$N$6+(DCF!$C$30-DCF!$C$31+DCF!$C$32))/DCF!$C$34</f>
        <v>753.3246884816754</v>
      </c>
      <c r="I14" s="74">
        <f>(SUMPRODUCT(DCF!$E$11:$N$11,1/(1+I$6)^DCF!$E$7:$N$7)+DCF!$N$9*(1+$B14)/(I$6-$B14)/(1+I$6)^DCF!$N$6+(DCF!$C$30-DCF!$C$31+DCF!$C$32))/DCF!$C$34</f>
        <v>703.4584044999527</v>
      </c>
      <c r="J14" s="74">
        <f>(SUMPRODUCT(DCF!$E$11:$N$11,1/(1+J$6)^DCF!$E$7:$N$7)+DCF!$N$9*(1+$B14)/(J$6-$B14)/(1+J$6)^DCF!$N$6+(DCF!$C$30-DCF!$C$31+DCF!$C$32))/DCF!$C$34</f>
        <v>660.167029145087</v>
      </c>
      <c r="K14" s="74">
        <f>(SUMPRODUCT(DCF!$E$11:$N$11,1/(1+K$6)^DCF!$E$7:$N$7)+DCF!$N$9*(1+$B14)/(K$6-$B14)/(1+K$6)^DCF!$N$6+(DCF!$C$30-DCF!$C$31+DCF!$C$32))/DCF!$C$34</f>
        <v>622.2342795879293</v>
      </c>
    </row>
    <row r="15">
      <c r="B15" s="73">
        <f>$B$11+(4)*$N$6</f>
        <v>0.035</v>
      </c>
      <c r="C15" s="74">
        <f>(SUMPRODUCT(DCF!$E$11:$N$11,1/(1+C$6)^DCF!$E$7:$N$7)+DCF!$N$9*(1+$B15)/(C$6-$B15)/(1+C$6)^DCF!$N$6+(DCF!$C$30-DCF!$C$31+DCF!$C$32))/DCF!$C$34</f>
        <v>1238.903746291787</v>
      </c>
      <c r="D15" s="74">
        <f>(SUMPRODUCT(DCF!$E$11:$N$11,1/(1+D$6)^DCF!$E$7:$N$7)+DCF!$N$9*(1+$B15)/(D$6-$B15)/(1+D$6)^DCF!$N$6+(DCF!$C$30-DCF!$C$31+DCF!$C$32))/DCF!$C$34</f>
        <v>1102.1655785024784</v>
      </c>
      <c r="E15" s="74">
        <f>(SUMPRODUCT(DCF!$E$11:$N$11,1/(1+E$6)^DCF!$E$7:$N$7)+DCF!$N$9*(1+$B15)/(E$6-$B15)/(1+E$6)^DCF!$N$6+(DCF!$C$30-DCF!$C$31+DCF!$C$32))/DCF!$C$34</f>
        <v>993.5399144255479</v>
      </c>
      <c r="F15" s="74">
        <f>(SUMPRODUCT(DCF!$E$11:$N$11,1/(1+F$6)^DCF!$E$7:$N$7)+DCF!$N$9*(1+$B15)/(F$6-$B15)/(1+F$6)^DCF!$N$6+(DCF!$C$30-DCF!$C$31+DCF!$C$32))/DCF!$C$34</f>
        <v>905.17963915083</v>
      </c>
      <c r="G15" s="74">
        <f>(SUMPRODUCT(DCF!$E$11:$N$11,1/(1+G$6)^DCF!$E$7:$N$7)+DCF!$N$9*(1+$B15)/(G$6-$B15)/(1+G$6)^DCF!$N$6+(DCF!$C$30-DCF!$C$31+DCF!$C$32))/DCF!$C$34</f>
        <v>831.908054331928</v>
      </c>
      <c r="H15" s="74">
        <f>(SUMPRODUCT(DCF!$E$11:$N$11,1/(1+H$6)^DCF!$E$7:$N$7)+DCF!$N$9*(1+$B15)/(H$6-$B15)/(1+H$6)^DCF!$N$6+(DCF!$C$30-DCF!$C$31+DCF!$C$32))/DCF!$C$34</f>
        <v>770.1721177772472</v>
      </c>
      <c r="I15" s="74">
        <f>(SUMPRODUCT(DCF!$E$11:$N$11,1/(1+I$6)^DCF!$E$7:$N$7)+DCF!$N$9*(1+$B15)/(I$6-$B15)/(1+I$6)^DCF!$N$6+(DCF!$C$30-DCF!$C$31+DCF!$C$32))/DCF!$C$34</f>
        <v>717.4522551374679</v>
      </c>
      <c r="J15" s="74">
        <f>(SUMPRODUCT(DCF!$E$11:$N$11,1/(1+J$6)^DCF!$E$7:$N$7)+DCF!$N$9*(1+$B15)/(J$6-$B15)/(1+J$6)^DCF!$N$6+(DCF!$C$30-DCF!$C$31+DCF!$C$32))/DCF!$C$34</f>
        <v>671.9121528253426</v>
      </c>
      <c r="K15" s="74">
        <f>(SUMPRODUCT(DCF!$E$11:$N$11,1/(1+K$6)^DCF!$E$7:$N$7)+DCF!$N$9*(1+$B15)/(K$6-$B15)/(1+K$6)^DCF!$N$6+(DCF!$C$30-DCF!$C$31+DCF!$C$32))/DCF!$C$34</f>
        <v>632.1819140882284</v>
      </c>
    </row>
    <row r="17">
      <c r="B17" s="8" t="inlineStr">
        <is>
          <t>Table 2: WACC vs exit EV/EBITDA multiple (Exit Multiple method)</t>
        </is>
      </c>
    </row>
    <row r="18">
      <c r="C18" s="3" t="inlineStr">
        <is>
          <t>WACC →</t>
        </is>
      </c>
    </row>
    <row r="19">
      <c r="B19" s="71" t="inlineStr">
        <is>
          <t>Multiple ↓  /  WACC →</t>
        </is>
      </c>
      <c r="C19" s="72">
        <f>$G$19+(-4)*$N$5</f>
        <v>0.07377981262700602</v>
      </c>
      <c r="D19" s="72">
        <f>$G$19+(-3)*$N$5</f>
        <v>0.07877981262700602</v>
      </c>
      <c r="E19" s="72">
        <f>$G$19+(-2)*$N$5</f>
        <v>0.08377981262700603</v>
      </c>
      <c r="F19" s="72">
        <f>$G$19+(-1)*$N$5</f>
        <v>0.08877981262700602</v>
      </c>
      <c r="G19" s="72">
        <f>WACC!$C$35</f>
        <v>0.09377981262700602</v>
      </c>
      <c r="H19" s="72">
        <f>$G$19+(1)*$N$5</f>
        <v>0.09877981262700603</v>
      </c>
      <c r="I19" s="72">
        <f>$G$19+(2)*$N$5</f>
        <v>0.10377981262700602</v>
      </c>
      <c r="J19" s="72">
        <f>$G$19+(3)*$N$5</f>
        <v>0.10877981262700602</v>
      </c>
      <c r="K19" s="72">
        <f>$G$19+(4)*$N$5</f>
        <v>0.11377981262700602</v>
      </c>
    </row>
    <row r="20">
      <c r="B20" s="76">
        <f>$B$24+(-4)*$N$7</f>
        <v>12.0</v>
      </c>
      <c r="C20" s="74">
        <f>(SUMPRODUCT(DCF!$E$11:$N$11,1/(1+C$19)^DCF!$E$7:$N$7)+Forecast!$Q$14*$B20/(1+C$19)^DCF!$N$6+(DCF!$C$30-DCF!$C$31+DCF!$C$32))/DCF!$C$34</f>
        <v>921.0461882265314</v>
      </c>
      <c r="D20" s="74">
        <f>(SUMPRODUCT(DCF!$E$11:$N$11,1/(1+D$19)^DCF!$E$7:$N$7)+Forecast!$Q$14*$B20/(1+D$19)^DCF!$N$6+(DCF!$C$30-DCF!$C$31+DCF!$C$32))/DCF!$C$34</f>
        <v>891.288209116663</v>
      </c>
      <c r="E20" s="74">
        <f>(SUMPRODUCT(DCF!$E$11:$N$11,1/(1+E$19)^DCF!$E$7:$N$7)+Forecast!$Q$14*$B20/(1+E$19)^DCF!$N$6+(DCF!$C$30-DCF!$C$31+DCF!$C$32))/DCF!$C$34</f>
        <v>862.8043924579239</v>
      </c>
      <c r="F20" s="74">
        <f>(SUMPRODUCT(DCF!$E$11:$N$11,1/(1+F$19)^DCF!$E$7:$N$7)+Forecast!$Q$14*$B20/(1+F$19)^DCF!$N$6+(DCF!$C$30-DCF!$C$31+DCF!$C$32))/DCF!$C$34</f>
        <v>835.5328377354032</v>
      </c>
      <c r="G20" s="74">
        <f>(SUMPRODUCT(DCF!$E$11:$N$11,1/(1+G$19)^DCF!$E$7:$N$7)+Forecast!$Q$14*$B20/(1+G$19)^DCF!$N$6+(DCF!$C$30-DCF!$C$31+DCF!$C$32))/DCF!$C$34</f>
        <v>809.4149563150273</v>
      </c>
      <c r="H20" s="74">
        <f>(SUMPRODUCT(DCF!$E$11:$N$11,1/(1+H$19)^DCF!$E$7:$N$7)+Forecast!$Q$14*$B20/(1+H$19)^DCF!$N$6+(DCF!$C$30-DCF!$C$31+DCF!$C$32))/DCF!$C$34</f>
        <v>784.3952790677716</v>
      </c>
      <c r="I20" s="74">
        <f>(SUMPRODUCT(DCF!$E$11:$N$11,1/(1+I$19)^DCF!$E$7:$N$7)+Forecast!$Q$14*$B20/(1+I$19)^DCF!$N$6+(DCF!$C$30-DCF!$C$31+DCF!$C$32))/DCF!$C$34</f>
        <v>760.4212760158499</v>
      </c>
      <c r="J20" s="74">
        <f>(SUMPRODUCT(DCF!$E$11:$N$11,1/(1+J$19)^DCF!$E$7:$N$7)+Forecast!$Q$14*$B20/(1+J$19)^DCF!$N$6+(DCF!$C$30-DCF!$C$31+DCF!$C$32))/DCF!$C$34</f>
        <v>737.443187197953</v>
      </c>
      <c r="K20" s="74">
        <f>(SUMPRODUCT(DCF!$E$11:$N$11,1/(1+K$19)^DCF!$E$7:$N$7)+Forecast!$Q$14*$B20/(1+K$19)^DCF!$N$6+(DCF!$C$30-DCF!$C$31+DCF!$C$32))/DCF!$C$34</f>
        <v>715.4138640076795</v>
      </c>
    </row>
    <row r="21">
      <c r="B21" s="76">
        <f>$B$24+(-3)*$N$7</f>
        <v>14.0</v>
      </c>
      <c r="C21" s="74">
        <f>(SUMPRODUCT(DCF!$E$11:$N$11,1/(1+C$19)^DCF!$E$7:$N$7)+Forecast!$Q$14*$B21/(1+C$19)^DCF!$N$6+(DCF!$C$30-DCF!$C$31+DCF!$C$32))/DCF!$C$34</f>
        <v>1010.7021028145043</v>
      </c>
      <c r="D21" s="74">
        <f>(SUMPRODUCT(DCF!$E$11:$N$11,1/(1+D$19)^DCF!$E$7:$N$7)+Forecast!$Q$14*$B21/(1+D$19)^DCF!$N$6+(DCF!$C$30-DCF!$C$31+DCF!$C$32))/DCF!$C$34</f>
        <v>977.1798529923309</v>
      </c>
      <c r="E21" s="74">
        <f>(SUMPRODUCT(DCF!$E$11:$N$11,1/(1+E$19)^DCF!$E$7:$N$7)+Forecast!$Q$14*$B21/(1+E$19)^DCF!$N$6+(DCF!$C$30-DCF!$C$31+DCF!$C$32))/DCF!$C$34</f>
        <v>945.1061336718155</v>
      </c>
      <c r="F21" s="74">
        <f>(SUMPRODUCT(DCF!$E$11:$N$11,1/(1+F$19)^DCF!$E$7:$N$7)+Forecast!$Q$14*$B21/(1+F$19)^DCF!$N$6+(DCF!$C$30-DCF!$C$31+DCF!$C$32))/DCF!$C$34</f>
        <v>914.4102180384871</v>
      </c>
      <c r="G21" s="74">
        <f>(SUMPRODUCT(DCF!$E$11:$N$11,1/(1+G$19)^DCF!$E$7:$N$7)+Forecast!$Q$14*$B21/(1+G$19)^DCF!$N$6+(DCF!$C$30-DCF!$C$31+DCF!$C$32))/DCF!$C$34</f>
        <v>885.0251755199254</v>
      </c>
      <c r="H21" s="74">
        <f>(SUMPRODUCT(DCF!$E$11:$N$11,1/(1+H$19)^DCF!$E$7:$N$7)+Forecast!$Q$14*$B21/(1+H$19)^DCF!$N$6+(DCF!$C$30-DCF!$C$31+DCF!$C$32))/DCF!$C$34</f>
        <v>856.8876507856068</v>
      </c>
      <c r="I21" s="74">
        <f>(SUMPRODUCT(DCF!$E$11:$N$11,1/(1+I$19)^DCF!$E$7:$N$7)+Forecast!$Q$14*$B21/(1+I$19)^DCF!$N$6+(DCF!$C$30-DCF!$C$31+DCF!$C$32))/DCF!$C$34</f>
        <v>829.937656580067</v>
      </c>
      <c r="J21" s="74">
        <f>(SUMPRODUCT(DCF!$E$11:$N$11,1/(1+J$19)^DCF!$E$7:$N$7)+Forecast!$Q$14*$B21/(1+J$19)^DCF!$N$6+(DCF!$C$30-DCF!$C$31+DCF!$C$32))/DCF!$C$34</f>
        <v>804.1183794643199</v>
      </c>
      <c r="K21" s="74">
        <f>(SUMPRODUCT(DCF!$E$11:$N$11,1/(1+K$19)^DCF!$E$7:$N$7)+Forecast!$Q$14*$B21/(1+K$19)^DCF!$N$6+(DCF!$C$30-DCF!$C$31+DCF!$C$32))/DCF!$C$34</f>
        <v>779.375997606289</v>
      </c>
    </row>
    <row r="22">
      <c r="B22" s="76">
        <f>$B$24+(-2)*$N$7</f>
        <v>16.0</v>
      </c>
      <c r="C22" s="74">
        <f>(SUMPRODUCT(DCF!$E$11:$N$11,1/(1+C$19)^DCF!$E$7:$N$7)+Forecast!$Q$14*$B22/(1+C$19)^DCF!$N$6+(DCF!$C$30-DCF!$C$31+DCF!$C$32))/DCF!$C$34</f>
        <v>1100.358017402477</v>
      </c>
      <c r="D22" s="74">
        <f>(SUMPRODUCT(DCF!$E$11:$N$11,1/(1+D$19)^DCF!$E$7:$N$7)+Forecast!$Q$14*$B22/(1+D$19)^DCF!$N$6+(DCF!$C$30-DCF!$C$31+DCF!$C$32))/DCF!$C$34</f>
        <v>1063.071496867999</v>
      </c>
      <c r="E22" s="74">
        <f>(SUMPRODUCT(DCF!$E$11:$N$11,1/(1+E$19)^DCF!$E$7:$N$7)+Forecast!$Q$14*$B22/(1+E$19)^DCF!$N$6+(DCF!$C$30-DCF!$C$31+DCF!$C$32))/DCF!$C$34</f>
        <v>1027.4078748857073</v>
      </c>
      <c r="F22" s="74">
        <f>(SUMPRODUCT(DCF!$E$11:$N$11,1/(1+F$19)^DCF!$E$7:$N$7)+Forecast!$Q$14*$B22/(1+F$19)^DCF!$N$6+(DCF!$C$30-DCF!$C$31+DCF!$C$32))/DCF!$C$34</f>
        <v>993.2875983415707</v>
      </c>
      <c r="G22" s="74">
        <f>(SUMPRODUCT(DCF!$E$11:$N$11,1/(1+G$19)^DCF!$E$7:$N$7)+Forecast!$Q$14*$B22/(1+G$19)^DCF!$N$6+(DCF!$C$30-DCF!$C$31+DCF!$C$32))/DCF!$C$34</f>
        <v>960.6353947248232</v>
      </c>
      <c r="H22" s="74">
        <f>(SUMPRODUCT(DCF!$E$11:$N$11,1/(1+H$19)^DCF!$E$7:$N$7)+Forecast!$Q$14*$B22/(1+H$19)^DCF!$N$6+(DCF!$C$30-DCF!$C$31+DCF!$C$32))/DCF!$C$34</f>
        <v>929.3800225034421</v>
      </c>
      <c r="I22" s="74">
        <f>(SUMPRODUCT(DCF!$E$11:$N$11,1/(1+I$19)^DCF!$E$7:$N$7)+Forecast!$Q$14*$B22/(1+I$19)^DCF!$N$6+(DCF!$C$30-DCF!$C$31+DCF!$C$32))/DCF!$C$34</f>
        <v>899.4540371442843</v>
      </c>
      <c r="J22" s="74">
        <f>(SUMPRODUCT(DCF!$E$11:$N$11,1/(1+J$19)^DCF!$E$7:$N$7)+Forecast!$Q$14*$B22/(1+J$19)^DCF!$N$6+(DCF!$C$30-DCF!$C$31+DCF!$C$32))/DCF!$C$34</f>
        <v>870.7935717306872</v>
      </c>
      <c r="K22" s="74">
        <f>(SUMPRODUCT(DCF!$E$11:$N$11,1/(1+K$19)^DCF!$E$7:$N$7)+Forecast!$Q$14*$B22/(1+K$19)^DCF!$N$6+(DCF!$C$30-DCF!$C$31+DCF!$C$32))/DCF!$C$34</f>
        <v>843.3381312048983</v>
      </c>
    </row>
    <row r="23">
      <c r="B23" s="76">
        <f>$B$24+(-1)*$N$7</f>
        <v>18.0</v>
      </c>
      <c r="C23" s="74">
        <f>(SUMPRODUCT(DCF!$E$11:$N$11,1/(1+C$19)^DCF!$E$7:$N$7)+Forecast!$Q$14*$B23/(1+C$19)^DCF!$N$6+(DCF!$C$30-DCF!$C$31+DCF!$C$32))/DCF!$C$34</f>
        <v>1190.0139319904497</v>
      </c>
      <c r="D23" s="74">
        <f>(SUMPRODUCT(DCF!$E$11:$N$11,1/(1+D$19)^DCF!$E$7:$N$7)+Forecast!$Q$14*$B23/(1+D$19)^DCF!$N$6+(DCF!$C$30-DCF!$C$31+DCF!$C$32))/DCF!$C$34</f>
        <v>1148.9631407436668</v>
      </c>
      <c r="E23" s="74">
        <f>(SUMPRODUCT(DCF!$E$11:$N$11,1/(1+E$19)^DCF!$E$7:$N$7)+Forecast!$Q$14*$B23/(1+E$19)^DCF!$N$6+(DCF!$C$30-DCF!$C$31+DCF!$C$32))/DCF!$C$34</f>
        <v>1109.7096160995993</v>
      </c>
      <c r="F23" s="74">
        <f>(SUMPRODUCT(DCF!$E$11:$N$11,1/(1+F$19)^DCF!$E$7:$N$7)+Forecast!$Q$14*$B23/(1+F$19)^DCF!$N$6+(DCF!$C$30-DCF!$C$31+DCF!$C$32))/DCF!$C$34</f>
        <v>1072.1649786446544</v>
      </c>
      <c r="G23" s="74">
        <f>(SUMPRODUCT(DCF!$E$11:$N$11,1/(1+G$19)^DCF!$E$7:$N$7)+Forecast!$Q$14*$B23/(1+G$19)^DCF!$N$6+(DCF!$C$30-DCF!$C$31+DCF!$C$32))/DCF!$C$34</f>
        <v>1036.245613929721</v>
      </c>
      <c r="H23" s="74">
        <f>(SUMPRODUCT(DCF!$E$11:$N$11,1/(1+H$19)^DCF!$E$7:$N$7)+Forecast!$Q$14*$B23/(1+H$19)^DCF!$N$6+(DCF!$C$30-DCF!$C$31+DCF!$C$32))/DCF!$C$34</f>
        <v>1001.8723942212772</v>
      </c>
      <c r="I23" s="74">
        <f>(SUMPRODUCT(DCF!$E$11:$N$11,1/(1+I$19)^DCF!$E$7:$N$7)+Forecast!$Q$14*$B23/(1+I$19)^DCF!$N$6+(DCF!$C$30-DCF!$C$31+DCF!$C$32))/DCF!$C$34</f>
        <v>968.9704177085014</v>
      </c>
      <c r="J23" s="74">
        <f>(SUMPRODUCT(DCF!$E$11:$N$11,1/(1+J$19)^DCF!$E$7:$N$7)+Forecast!$Q$14*$B23/(1+J$19)^DCF!$N$6+(DCF!$C$30-DCF!$C$31+DCF!$C$32))/DCF!$C$34</f>
        <v>937.4687639970541</v>
      </c>
      <c r="K23" s="74">
        <f>(SUMPRODUCT(DCF!$E$11:$N$11,1/(1+K$19)^DCF!$E$7:$N$7)+Forecast!$Q$14*$B23/(1+K$19)^DCF!$N$6+(DCF!$C$30-DCF!$C$31+DCF!$C$32))/DCF!$C$34</f>
        <v>907.3002648035078</v>
      </c>
    </row>
    <row r="24">
      <c r="B24" s="76">
        <f>Assumptions!$E$142</f>
        <v>20.0</v>
      </c>
      <c r="C24" s="74">
        <f>(SUMPRODUCT(DCF!$E$11:$N$11,1/(1+C$19)^DCF!$E$7:$N$7)+Forecast!$Q$14*$B24/(1+C$19)^DCF!$N$6+(DCF!$C$30-DCF!$C$31+DCF!$C$32))/DCF!$C$34</f>
        <v>1279.6698465784223</v>
      </c>
      <c r="D24" s="74">
        <f>(SUMPRODUCT(DCF!$E$11:$N$11,1/(1+D$19)^DCF!$E$7:$N$7)+Forecast!$Q$14*$B24/(1+D$19)^DCF!$N$6+(DCF!$C$30-DCF!$C$31+DCF!$C$32))/DCF!$C$34</f>
        <v>1234.8547846193346</v>
      </c>
      <c r="E24" s="74">
        <f>(SUMPRODUCT(DCF!$E$11:$N$11,1/(1+E$19)^DCF!$E$7:$N$7)+Forecast!$Q$14*$B24/(1+E$19)^DCF!$N$6+(DCF!$C$30-DCF!$C$31+DCF!$C$32))/DCF!$C$34</f>
        <v>1192.0113573134909</v>
      </c>
      <c r="F24" s="74">
        <f>(SUMPRODUCT(DCF!$E$11:$N$11,1/(1+F$19)^DCF!$E$7:$N$7)+Forecast!$Q$14*$B24/(1+F$19)^DCF!$N$6+(DCF!$C$30-DCF!$C$31+DCF!$C$32))/DCF!$C$34</f>
        <v>1151.042358947738</v>
      </c>
      <c r="G24" s="75">
        <f>(SUMPRODUCT(DCF!$E$11:$N$11,1/(1+G$19)^DCF!$E$7:$N$7)+Forecast!$Q$14*$B24/(1+G$19)^DCF!$N$6+(DCF!$C$30-DCF!$C$31+DCF!$C$32))/DCF!$C$34</f>
        <v>1111.8558331346192</v>
      </c>
      <c r="H24" s="74">
        <f>(SUMPRODUCT(DCF!$E$11:$N$11,1/(1+H$19)^DCF!$E$7:$N$7)+Forecast!$Q$14*$B24/(1+H$19)^DCF!$N$6+(DCF!$C$30-DCF!$C$31+DCF!$C$32))/DCF!$C$34</f>
        <v>1074.3647659391124</v>
      </c>
      <c r="I24" s="74">
        <f>(SUMPRODUCT(DCF!$E$11:$N$11,1/(1+I$19)^DCF!$E$7:$N$7)+Forecast!$Q$14*$B24/(1+I$19)^DCF!$N$6+(DCF!$C$30-DCF!$C$31+DCF!$C$32))/DCF!$C$34</f>
        <v>1038.4867982727187</v>
      </c>
      <c r="J24" s="74">
        <f>(SUMPRODUCT(DCF!$E$11:$N$11,1/(1+J$19)^DCF!$E$7:$N$7)+Forecast!$Q$14*$B24/(1+J$19)^DCF!$N$6+(DCF!$C$30-DCF!$C$31+DCF!$C$32))/DCF!$C$34</f>
        <v>1004.1439562634212</v>
      </c>
      <c r="K24" s="74">
        <f>(SUMPRODUCT(DCF!$E$11:$N$11,1/(1+K$19)^DCF!$E$7:$N$7)+Forecast!$Q$14*$B24/(1+K$19)^DCF!$N$6+(DCF!$C$30-DCF!$C$31+DCF!$C$32))/DCF!$C$34</f>
        <v>971.2623984021172</v>
      </c>
    </row>
    <row r="25">
      <c r="B25" s="76">
        <f>$B$24+(1)*$N$7</f>
        <v>22.0</v>
      </c>
      <c r="C25" s="74">
        <f>(SUMPRODUCT(DCF!$E$11:$N$11,1/(1+C$19)^DCF!$E$7:$N$7)+Forecast!$Q$14*$B25/(1+C$19)^DCF!$N$6+(DCF!$C$30-DCF!$C$31+DCF!$C$32))/DCF!$C$34</f>
        <v>1369.3257611663953</v>
      </c>
      <c r="D25" s="74">
        <f>(SUMPRODUCT(DCF!$E$11:$N$11,1/(1+D$19)^DCF!$E$7:$N$7)+Forecast!$Q$14*$B25/(1+D$19)^DCF!$N$6+(DCF!$C$30-DCF!$C$31+DCF!$C$32))/DCF!$C$34</f>
        <v>1320.7464284950026</v>
      </c>
      <c r="E25" s="74">
        <f>(SUMPRODUCT(DCF!$E$11:$N$11,1/(1+E$19)^DCF!$E$7:$N$7)+Forecast!$Q$14*$B25/(1+E$19)^DCF!$N$6+(DCF!$C$30-DCF!$C$31+DCF!$C$32))/DCF!$C$34</f>
        <v>1274.3130985273826</v>
      </c>
      <c r="F25" s="74">
        <f>(SUMPRODUCT(DCF!$E$11:$N$11,1/(1+F$19)^DCF!$E$7:$N$7)+Forecast!$Q$14*$B25/(1+F$19)^DCF!$N$6+(DCF!$C$30-DCF!$C$31+DCF!$C$32))/DCF!$C$34</f>
        <v>1229.919739250822</v>
      </c>
      <c r="G25" s="74">
        <f>(SUMPRODUCT(DCF!$E$11:$N$11,1/(1+G$19)^DCF!$E$7:$N$7)+Forecast!$Q$14*$B25/(1+G$19)^DCF!$N$6+(DCF!$C$30-DCF!$C$31+DCF!$C$32))/DCF!$C$34</f>
        <v>1187.466052339517</v>
      </c>
      <c r="H25" s="74">
        <f>(SUMPRODUCT(DCF!$E$11:$N$11,1/(1+H$19)^DCF!$E$7:$N$7)+Forecast!$Q$14*$B25/(1+H$19)^DCF!$N$6+(DCF!$C$30-DCF!$C$31+DCF!$C$32))/DCF!$C$34</f>
        <v>1146.8571376569475</v>
      </c>
      <c r="I25" s="74">
        <f>(SUMPRODUCT(DCF!$E$11:$N$11,1/(1+I$19)^DCF!$E$7:$N$7)+Forecast!$Q$14*$B25/(1+I$19)^DCF!$N$6+(DCF!$C$30-DCF!$C$31+DCF!$C$32))/DCF!$C$34</f>
        <v>1108.0031788369358</v>
      </c>
      <c r="J25" s="74">
        <f>(SUMPRODUCT(DCF!$E$11:$N$11,1/(1+J$19)^DCF!$E$7:$N$7)+Forecast!$Q$14*$B25/(1+J$19)^DCF!$N$6+(DCF!$C$30-DCF!$C$31+DCF!$C$32))/DCF!$C$34</f>
        <v>1070.8191485297882</v>
      </c>
      <c r="K25" s="74">
        <f>(SUMPRODUCT(DCF!$E$11:$N$11,1/(1+K$19)^DCF!$E$7:$N$7)+Forecast!$Q$14*$B25/(1+K$19)^DCF!$N$6+(DCF!$C$30-DCF!$C$31+DCF!$C$32))/DCF!$C$34</f>
        <v>1035.2245320007269</v>
      </c>
    </row>
    <row r="26">
      <c r="B26" s="76">
        <f>$B$24+(2)*$N$7</f>
        <v>24.0</v>
      </c>
      <c r="C26" s="74">
        <f>(SUMPRODUCT(DCF!$E$11:$N$11,1/(1+C$19)^DCF!$E$7:$N$7)+Forecast!$Q$14*$B26/(1+C$19)^DCF!$N$6+(DCF!$C$30-DCF!$C$31+DCF!$C$32))/DCF!$C$34</f>
        <v>1458.9816757543676</v>
      </c>
      <c r="D26" s="74">
        <f>(SUMPRODUCT(DCF!$E$11:$N$11,1/(1+D$19)^DCF!$E$7:$N$7)+Forecast!$Q$14*$B26/(1+D$19)^DCF!$N$6+(DCF!$C$30-DCF!$C$31+DCF!$C$32))/DCF!$C$34</f>
        <v>1406.6380723706704</v>
      </c>
      <c r="E26" s="74">
        <f>(SUMPRODUCT(DCF!$E$11:$N$11,1/(1+E$19)^DCF!$E$7:$N$7)+Forecast!$Q$14*$B26/(1+E$19)^DCF!$N$6+(DCF!$C$30-DCF!$C$31+DCF!$C$32))/DCF!$C$34</f>
        <v>1356.6148397412742</v>
      </c>
      <c r="F26" s="74">
        <f>(SUMPRODUCT(DCF!$E$11:$N$11,1/(1+F$19)^DCF!$E$7:$N$7)+Forecast!$Q$14*$B26/(1+F$19)^DCF!$N$6+(DCF!$C$30-DCF!$C$31+DCF!$C$32))/DCF!$C$34</f>
        <v>1308.7971195539058</v>
      </c>
      <c r="G26" s="74">
        <f>(SUMPRODUCT(DCF!$E$11:$N$11,1/(1+G$19)^DCF!$E$7:$N$7)+Forecast!$Q$14*$B26/(1+G$19)^DCF!$N$6+(DCF!$C$30-DCF!$C$31+DCF!$C$32))/DCF!$C$34</f>
        <v>1263.0762715444148</v>
      </c>
      <c r="H26" s="74">
        <f>(SUMPRODUCT(DCF!$E$11:$N$11,1/(1+H$19)^DCF!$E$7:$N$7)+Forecast!$Q$14*$B26/(1+H$19)^DCF!$N$6+(DCF!$C$30-DCF!$C$31+DCF!$C$32))/DCF!$C$34</f>
        <v>1219.3495093747829</v>
      </c>
      <c r="I26" s="74">
        <f>(SUMPRODUCT(DCF!$E$11:$N$11,1/(1+I$19)^DCF!$E$7:$N$7)+Forecast!$Q$14*$B26/(1+I$19)^DCF!$N$6+(DCF!$C$30-DCF!$C$31+DCF!$C$32))/DCF!$C$34</f>
        <v>1177.519559401153</v>
      </c>
      <c r="J26" s="74">
        <f>(SUMPRODUCT(DCF!$E$11:$N$11,1/(1+J$19)^DCF!$E$7:$N$7)+Forecast!$Q$14*$B26/(1+J$19)^DCF!$N$6+(DCF!$C$30-DCF!$C$31+DCF!$C$32))/DCF!$C$34</f>
        <v>1137.4943407961553</v>
      </c>
      <c r="K26" s="74">
        <f>(SUMPRODUCT(DCF!$E$11:$N$11,1/(1+K$19)^DCF!$E$7:$N$7)+Forecast!$Q$14*$B26/(1+K$19)^DCF!$N$6+(DCF!$C$30-DCF!$C$31+DCF!$C$32))/DCF!$C$34</f>
        <v>1099.186665599336</v>
      </c>
    </row>
    <row r="27">
      <c r="B27" s="76">
        <f>$B$24+(3)*$N$7</f>
        <v>26.0</v>
      </c>
      <c r="C27" s="74">
        <f>(SUMPRODUCT(DCF!$E$11:$N$11,1/(1+C$19)^DCF!$E$7:$N$7)+Forecast!$Q$14*$B27/(1+C$19)^DCF!$N$6+(DCF!$C$30-DCF!$C$31+DCF!$C$32))/DCF!$C$34</f>
        <v>1548.6375903423402</v>
      </c>
      <c r="D27" s="74">
        <f>(SUMPRODUCT(DCF!$E$11:$N$11,1/(1+D$19)^DCF!$E$7:$N$7)+Forecast!$Q$14*$B27/(1+D$19)^DCF!$N$6+(DCF!$C$30-DCF!$C$31+DCF!$C$32))/DCF!$C$34</f>
        <v>1492.5297162463385</v>
      </c>
      <c r="E27" s="74">
        <f>(SUMPRODUCT(DCF!$E$11:$N$11,1/(1+E$19)^DCF!$E$7:$N$7)+Forecast!$Q$14*$B27/(1+E$19)^DCF!$N$6+(DCF!$C$30-DCF!$C$31+DCF!$C$32))/DCF!$C$34</f>
        <v>1438.916580955166</v>
      </c>
      <c r="F27" s="74">
        <f>(SUMPRODUCT(DCF!$E$11:$N$11,1/(1+F$19)^DCF!$E$7:$N$7)+Forecast!$Q$14*$B27/(1+F$19)^DCF!$N$6+(DCF!$C$30-DCF!$C$31+DCF!$C$32))/DCF!$C$34</f>
        <v>1387.6744998569893</v>
      </c>
      <c r="G27" s="74">
        <f>(SUMPRODUCT(DCF!$E$11:$N$11,1/(1+G$19)^DCF!$E$7:$N$7)+Forecast!$Q$14*$B27/(1+G$19)^DCF!$N$6+(DCF!$C$30-DCF!$C$31+DCF!$C$32))/DCF!$C$34</f>
        <v>1338.686490749313</v>
      </c>
      <c r="H27" s="74">
        <f>(SUMPRODUCT(DCF!$E$11:$N$11,1/(1+H$19)^DCF!$E$7:$N$7)+Forecast!$Q$14*$B27/(1+H$19)^DCF!$N$6+(DCF!$C$30-DCF!$C$31+DCF!$C$32))/DCF!$C$34</f>
        <v>1291.841881092618</v>
      </c>
      <c r="I27" s="74">
        <f>(SUMPRODUCT(DCF!$E$11:$N$11,1/(1+I$19)^DCF!$E$7:$N$7)+Forecast!$Q$14*$B27/(1+I$19)^DCF!$N$6+(DCF!$C$30-DCF!$C$31+DCF!$C$32))/DCF!$C$34</f>
        <v>1247.03593996537</v>
      </c>
      <c r="J27" s="74">
        <f>(SUMPRODUCT(DCF!$E$11:$N$11,1/(1+J$19)^DCF!$E$7:$N$7)+Forecast!$Q$14*$B27/(1+J$19)^DCF!$N$6+(DCF!$C$30-DCF!$C$31+DCF!$C$32))/DCF!$C$34</f>
        <v>1204.1695330625223</v>
      </c>
      <c r="K27" s="74">
        <f>(SUMPRODUCT(DCF!$E$11:$N$11,1/(1+K$19)^DCF!$E$7:$N$7)+Forecast!$Q$14*$B27/(1+K$19)^DCF!$N$6+(DCF!$C$30-DCF!$C$31+DCF!$C$32))/DCF!$C$34</f>
        <v>1163.1487991979457</v>
      </c>
    </row>
    <row r="28">
      <c r="B28" s="76">
        <f>$B$24+(4)*$N$7</f>
        <v>28.0</v>
      </c>
      <c r="C28" s="74">
        <f>(SUMPRODUCT(DCF!$E$11:$N$11,1/(1+C$19)^DCF!$E$7:$N$7)+Forecast!$Q$14*$B28/(1+C$19)^DCF!$N$6+(DCF!$C$30-DCF!$C$31+DCF!$C$32))/DCF!$C$34</f>
        <v>1638.2935049303128</v>
      </c>
      <c r="D28" s="74">
        <f>(SUMPRODUCT(DCF!$E$11:$N$11,1/(1+D$19)^DCF!$E$7:$N$7)+Forecast!$Q$14*$B28/(1+D$19)^DCF!$N$6+(DCF!$C$30-DCF!$C$31+DCF!$C$32))/DCF!$C$34</f>
        <v>1578.4213601220063</v>
      </c>
      <c r="E28" s="74">
        <f>(SUMPRODUCT(DCF!$E$11:$N$11,1/(1+E$19)^DCF!$E$7:$N$7)+Forecast!$Q$14*$B28/(1+E$19)^DCF!$N$6+(DCF!$C$30-DCF!$C$31+DCF!$C$32))/DCF!$C$34</f>
        <v>1521.2183221690577</v>
      </c>
      <c r="F28" s="74">
        <f>(SUMPRODUCT(DCF!$E$11:$N$11,1/(1+F$19)^DCF!$E$7:$N$7)+Forecast!$Q$14*$B28/(1+F$19)^DCF!$N$6+(DCF!$C$30-DCF!$C$31+DCF!$C$32))/DCF!$C$34</f>
        <v>1466.551880160073</v>
      </c>
      <c r="G28" s="74">
        <f>(SUMPRODUCT(DCF!$E$11:$N$11,1/(1+G$19)^DCF!$E$7:$N$7)+Forecast!$Q$14*$B28/(1+G$19)^DCF!$N$6+(DCF!$C$30-DCF!$C$31+DCF!$C$32))/DCF!$C$34</f>
        <v>1414.2967099542107</v>
      </c>
      <c r="H28" s="74">
        <f>(SUMPRODUCT(DCF!$E$11:$N$11,1/(1+H$19)^DCF!$E$7:$N$7)+Forecast!$Q$14*$B28/(1+H$19)^DCF!$N$6+(DCF!$C$30-DCF!$C$31+DCF!$C$32))/DCF!$C$34</f>
        <v>1364.334252810453</v>
      </c>
      <c r="I28" s="74">
        <f>(SUMPRODUCT(DCF!$E$11:$N$11,1/(1+I$19)^DCF!$E$7:$N$7)+Forecast!$Q$14*$B28/(1+I$19)^DCF!$N$6+(DCF!$C$30-DCF!$C$31+DCF!$C$32))/DCF!$C$34</f>
        <v>1316.5523205295872</v>
      </c>
      <c r="J28" s="74">
        <f>(SUMPRODUCT(DCF!$E$11:$N$11,1/(1+J$19)^DCF!$E$7:$N$7)+Forecast!$Q$14*$B28/(1+J$19)^DCF!$N$6+(DCF!$C$30-DCF!$C$31+DCF!$C$32))/DCF!$C$34</f>
        <v>1270.8447253288891</v>
      </c>
      <c r="K28" s="74">
        <f>(SUMPRODUCT(DCF!$E$11:$N$11,1/(1+K$19)^DCF!$E$7:$N$7)+Forecast!$Q$14*$B28/(1+K$19)^DCF!$N$6+(DCF!$C$30-DCF!$C$31+DCF!$C$32))/DCF!$C$34</f>
        <v>1227.110932796555</v>
      </c>
    </row>
    <row r="30">
      <c r="B30" s="11" t="inlineStr">
        <is>
          <t>Shaded cell = live base case and equals the DCF tab price. Bold underlined = implied price at or above today's share price.</t>
        </is>
      </c>
    </row>
    <row r="31">
      <c r="B31" s="8" t="inlineStr">
        <is>
          <t>Table 3: Blended price, WACC vs terminal growth (multiple held at base)</t>
        </is>
      </c>
    </row>
    <row r="32">
      <c r="C32" s="3" t="inlineStr">
        <is>
          <t>WACC →</t>
        </is>
      </c>
    </row>
    <row r="33">
      <c r="B33" s="71" t="inlineStr">
        <is>
          <t>g ↓  /  WACC →</t>
        </is>
      </c>
      <c r="C33" s="72">
        <f>$G$33+(-4)*$N$5</f>
        <v>0.07377981262700602</v>
      </c>
      <c r="D33" s="72">
        <f>$G$33+(-3)*$N$5</f>
        <v>0.07877981262700602</v>
      </c>
      <c r="E33" s="72">
        <f>$G$33+(-2)*$N$5</f>
        <v>0.08377981262700603</v>
      </c>
      <c r="F33" s="72">
        <f>$G$33+(-1)*$N$5</f>
        <v>0.08877981262700602</v>
      </c>
      <c r="G33" s="72">
        <f>WACC!$C$35</f>
        <v>0.09377981262700602</v>
      </c>
      <c r="H33" s="72">
        <f>$G$33+(1)*$N$5</f>
        <v>0.09877981262700603</v>
      </c>
      <c r="I33" s="72">
        <f>$G$33+(2)*$N$5</f>
        <v>0.10377981262700602</v>
      </c>
      <c r="J33" s="72">
        <f>$G$33+(3)*$N$5</f>
        <v>0.10877981262700602</v>
      </c>
      <c r="K33" s="72">
        <f>$G$33+(4)*$N$5</f>
        <v>0.11377981262700602</v>
      </c>
    </row>
    <row r="34">
      <c r="B34" s="73">
        <f>$B$38+(-4)*$N$6</f>
        <v>0.015000000000000001</v>
      </c>
      <c r="C34" s="74">
        <f>Assumptions!$C$12*((SUMPRODUCT(DCF!$E$11:$N$11,1/(1+C$33)^DCF!$E$7:$N$7)+DCF!$N$9*(1+$B34)/(C$33-$B34)/(1+C$33)^DCF!$N$6+(DCF!$C$30-DCF!$C$31+DCF!$C$32))/DCF!$C$34)+(1-Assumptions!$C$12)*((SUMPRODUCT(DCF!$E$11:$N$11,1/(1+C$33)^DCF!$E$7:$N$7)+Forecast!$Q$14*Assumptions!$E$142/(1+C$33)^DCF!$N$6+(DCF!$C$30-DCF!$C$31+DCF!$C$32))/DCF!$C$34)</f>
        <v>1108.2386359419102</v>
      </c>
      <c r="D34" s="74">
        <f>Assumptions!$C$12*((SUMPRODUCT(DCF!$E$11:$N$11,1/(1+D$33)^DCF!$E$7:$N$7)+DCF!$N$9*(1+$B34)/(D$33-$B34)/(1+D$33)^DCF!$N$6+(DCF!$C$30-DCF!$C$31+DCF!$C$32))/DCF!$C$34)+(1-Assumptions!$C$12)*((SUMPRODUCT(DCF!$E$11:$N$11,1/(1+D$33)^DCF!$E$7:$N$7)+Forecast!$Q$14*Assumptions!$E$142/(1+D$33)^DCF!$N$6+(DCF!$C$30-DCF!$C$31+DCF!$C$32))/DCF!$C$34)</f>
        <v>1049.829029783459</v>
      </c>
      <c r="E34" s="74">
        <f>Assumptions!$C$12*((SUMPRODUCT(DCF!$E$11:$N$11,1/(1+E$33)^DCF!$E$7:$N$7)+DCF!$N$9*(1+$B34)/(E$33-$B34)/(1+E$33)^DCF!$N$6+(DCF!$C$30-DCF!$C$31+DCF!$C$32))/DCF!$C$34)+(1-Assumptions!$C$12)*((SUMPRODUCT(DCF!$E$11:$N$11,1/(1+E$33)^DCF!$E$7:$N$7)+Forecast!$Q$14*Assumptions!$E$142/(1+E$33)^DCF!$N$6+(DCF!$C$30-DCF!$C$31+DCF!$C$32))/DCF!$C$34)</f>
        <v>997.692361536642</v>
      </c>
      <c r="F34" s="74">
        <f>Assumptions!$C$12*((SUMPRODUCT(DCF!$E$11:$N$11,1/(1+F$33)^DCF!$E$7:$N$7)+DCF!$N$9*(1+$B34)/(F$33-$B34)/(1+F$33)^DCF!$N$6+(DCF!$C$30-DCF!$C$31+DCF!$C$32))/DCF!$C$34)+(1-Assumptions!$C$12)*((SUMPRODUCT(DCF!$E$11:$N$11,1/(1+F$33)^DCF!$E$7:$N$7)+Forecast!$Q$14*Assumptions!$E$142/(1+F$33)^DCF!$N$6+(DCF!$C$30-DCF!$C$31+DCF!$C$32))/DCF!$C$34)</f>
        <v>950.7021037337437</v>
      </c>
      <c r="G34" s="74">
        <f>Assumptions!$C$12*((SUMPRODUCT(DCF!$E$11:$N$11,1/(1+G$33)^DCF!$E$7:$N$7)+DCF!$N$9*(1+$B34)/(G$33-$B34)/(1+G$33)^DCF!$N$6+(DCF!$C$30-DCF!$C$31+DCF!$C$32))/DCF!$C$34)+(1-Assumptions!$C$12)*((SUMPRODUCT(DCF!$E$11:$N$11,1/(1+G$33)^DCF!$E$7:$N$7)+Forecast!$Q$14*Assumptions!$E$142/(1+G$33)^DCF!$N$6+(DCF!$C$30-DCF!$C$31+DCF!$C$32))/DCF!$C$34)</f>
        <v>908.0081922584998</v>
      </c>
      <c r="H34" s="74">
        <f>Assumptions!$C$12*((SUMPRODUCT(DCF!$E$11:$N$11,1/(1+H$33)^DCF!$E$7:$N$7)+DCF!$N$9*(1+$B34)/(H$33-$B34)/(1+H$33)^DCF!$N$6+(DCF!$C$30-DCF!$C$31+DCF!$C$32))/DCF!$C$34)+(1-Assumptions!$C$12)*((SUMPRODUCT(DCF!$E$11:$N$11,1/(1+H$33)^DCF!$E$7:$N$7)+Forecast!$Q$14*Assumptions!$E$142/(1+H$33)^DCF!$N$6+(DCF!$C$30-DCF!$C$31+DCF!$C$32))/DCF!$C$34)</f>
        <v>868.9551473093547</v>
      </c>
      <c r="I34" s="74">
        <f>Assumptions!$C$12*((SUMPRODUCT(DCF!$E$11:$N$11,1/(1+I$33)^DCF!$E$7:$N$7)+DCF!$N$9*(1+$B34)/(I$33-$B34)/(1+I$33)^DCF!$N$6+(DCF!$C$30-DCF!$C$31+DCF!$C$32))/DCF!$C$34)+(1-Assumptions!$C$12)*((SUMPRODUCT(DCF!$E$11:$N$11,1/(1+I$33)^DCF!$E$7:$N$7)+Forecast!$Q$14*Assumptions!$E$142/(1+I$33)^DCF!$N$6+(DCF!$C$30-DCF!$C$31+DCF!$C$32))/DCF!$C$34)</f>
        <v>833.0278210692351</v>
      </c>
      <c r="J34" s="74">
        <f>Assumptions!$C$12*((SUMPRODUCT(DCF!$E$11:$N$11,1/(1+J$33)^DCF!$E$7:$N$7)+DCF!$N$9*(1+$B34)/(J$33-$B34)/(1+J$33)^DCF!$N$6+(DCF!$C$30-DCF!$C$31+DCF!$C$32))/DCF!$C$34)+(1-Assumptions!$C$12)*((SUMPRODUCT(DCF!$E$11:$N$11,1/(1+J$33)^DCF!$E$7:$N$7)+Forecast!$Q$14*Assumptions!$E$142/(1+J$33)^DCF!$N$6+(DCF!$C$30-DCF!$C$31+DCF!$C$32))/DCF!$C$34)</f>
        <v>799.8144642837885</v>
      </c>
      <c r="K34" s="74">
        <f>Assumptions!$C$12*((SUMPRODUCT(DCF!$E$11:$N$11,1/(1+K$33)^DCF!$E$7:$N$7)+DCF!$N$9*(1+$B34)/(K$33-$B34)/(1+K$33)^DCF!$N$6+(DCF!$C$30-DCF!$C$31+DCF!$C$32))/DCF!$C$34)+(1-Assumptions!$C$12)*((SUMPRODUCT(DCF!$E$11:$N$11,1/(1+K$33)^DCF!$E$7:$N$7)+Forecast!$Q$14*Assumptions!$E$142/(1+K$33)^DCF!$N$6+(DCF!$C$30-DCF!$C$31+DCF!$C$32))/DCF!$C$34)</f>
        <v>768.9809777892339</v>
      </c>
    </row>
    <row r="35">
      <c r="B35" s="73">
        <f>$B$38+(-3)*$N$6</f>
        <v>0.0175</v>
      </c>
      <c r="C35" s="74">
        <f>Assumptions!$C$12*((SUMPRODUCT(DCF!$E$11:$N$11,1/(1+C$33)^DCF!$E$7:$N$7)+DCF!$N$9*(1+$B35)/(C$33-$B35)/(1+C$33)^DCF!$N$6+(DCF!$C$30-DCF!$C$31+DCF!$C$32))/DCF!$C$34)+(1-Assumptions!$C$12)*((SUMPRODUCT(DCF!$E$11:$N$11,1/(1+C$33)^DCF!$E$7:$N$7)+Forecast!$Q$14*Assumptions!$E$142/(1+C$33)^DCF!$N$6+(DCF!$C$30-DCF!$C$31+DCF!$C$32))/DCF!$C$34)</f>
        <v>1121.2486725077772</v>
      </c>
      <c r="D35" s="74">
        <f>Assumptions!$C$12*((SUMPRODUCT(DCF!$E$11:$N$11,1/(1+D$33)^DCF!$E$7:$N$7)+DCF!$N$9*(1+$B35)/(D$33-$B35)/(1+D$33)^DCF!$N$6+(DCF!$C$30-DCF!$C$31+DCF!$C$32))/DCF!$C$34)+(1-Assumptions!$C$12)*((SUMPRODUCT(DCF!$E$11:$N$11,1/(1+D$33)^DCF!$E$7:$N$7)+Forecast!$Q$14*Assumptions!$E$142/(1+D$33)^DCF!$N$6+(DCF!$C$30-DCF!$C$31+DCF!$C$32))/DCF!$C$34)</f>
        <v>1060.4276232770449</v>
      </c>
      <c r="E35" s="74">
        <f>Assumptions!$C$12*((SUMPRODUCT(DCF!$E$11:$N$11,1/(1+E$33)^DCF!$E$7:$N$7)+DCF!$N$9*(1+$B35)/(E$33-$B35)/(1+E$33)^DCF!$N$6+(DCF!$C$30-DCF!$C$31+DCF!$C$32))/DCF!$C$34)+(1-Assumptions!$C$12)*((SUMPRODUCT(DCF!$E$11:$N$11,1/(1+E$33)^DCF!$E$7:$N$7)+Forecast!$Q$14*Assumptions!$E$142/(1+E$33)^DCF!$N$6+(DCF!$C$30-DCF!$C$31+DCF!$C$32))/DCF!$C$34)</f>
        <v>1006.4396409156993</v>
      </c>
      <c r="F35" s="74">
        <f>Assumptions!$C$12*((SUMPRODUCT(DCF!$E$11:$N$11,1/(1+F$33)^DCF!$E$7:$N$7)+DCF!$N$9*(1+$B35)/(F$33-$B35)/(1+F$33)^DCF!$N$6+(DCF!$C$30-DCF!$C$31+DCF!$C$32))/DCF!$C$34)+(1-Assumptions!$C$12)*((SUMPRODUCT(DCF!$E$11:$N$11,1/(1+F$33)^DCF!$E$7:$N$7)+Forecast!$Q$14*Assumptions!$E$142/(1+F$33)^DCF!$N$6+(DCF!$C$30-DCF!$C$31+DCF!$C$32))/DCF!$C$34)</f>
        <v>958.002620760068</v>
      </c>
      <c r="G35" s="74">
        <f>Assumptions!$C$12*((SUMPRODUCT(DCF!$E$11:$N$11,1/(1+G$33)^DCF!$E$7:$N$7)+DCF!$N$9*(1+$B35)/(G$33-$B35)/(1+G$33)^DCF!$N$6+(DCF!$C$30-DCF!$C$31+DCF!$C$32))/DCF!$C$34)+(1-Assumptions!$C$12)*((SUMPRODUCT(DCF!$E$11:$N$11,1/(1+G$33)^DCF!$E$7:$N$7)+Forecast!$Q$14*Assumptions!$E$142/(1+G$33)^DCF!$N$6+(DCF!$C$30-DCF!$C$31+DCF!$C$32))/DCF!$C$34)</f>
        <v>914.160683681476</v>
      </c>
      <c r="H35" s="74">
        <f>Assumptions!$C$12*((SUMPRODUCT(DCF!$E$11:$N$11,1/(1+H$33)^DCF!$E$7:$N$7)+DCF!$N$9*(1+$B35)/(H$33-$B35)/(1+H$33)^DCF!$N$6+(DCF!$C$30-DCF!$C$31+DCF!$C$32))/DCF!$C$34)+(1-Assumptions!$C$12)*((SUMPRODUCT(DCF!$E$11:$N$11,1/(1+H$33)^DCF!$E$7:$N$7)+Forecast!$Q$14*Assumptions!$E$142/(1+H$33)^DCF!$N$6+(DCF!$C$30-DCF!$C$31+DCF!$C$32))/DCF!$C$34)</f>
        <v>874.1844776728126</v>
      </c>
      <c r="I35" s="74">
        <f>Assumptions!$C$12*((SUMPRODUCT(DCF!$E$11:$N$11,1/(1+I$33)^DCF!$E$7:$N$7)+DCF!$N$9*(1+$B35)/(I$33-$B35)/(1+I$33)^DCF!$N$6+(DCF!$C$30-DCF!$C$31+DCF!$C$32))/DCF!$C$34)+(1-Assumptions!$C$12)*((SUMPRODUCT(DCF!$E$11:$N$11,1/(1+I$33)^DCF!$E$7:$N$7)+Forecast!$Q$14*Assumptions!$E$142/(1+I$33)^DCF!$N$6+(DCF!$C$30-DCF!$C$31+DCF!$C$32))/DCF!$C$34)</f>
        <v>837.5061022549735</v>
      </c>
      <c r="J35" s="74">
        <f>Assumptions!$C$12*((SUMPRODUCT(DCF!$E$11:$N$11,1/(1+J$33)^DCF!$E$7:$N$7)+DCF!$N$9*(1+$B35)/(J$33-$B35)/(1+J$33)^DCF!$N$6+(DCF!$C$30-DCF!$C$31+DCF!$C$32))/DCF!$C$34)+(1-Assumptions!$C$12)*((SUMPRODUCT(DCF!$E$11:$N$11,1/(1+J$33)^DCF!$E$7:$N$7)+Forecast!$Q$14*Assumptions!$E$142/(1+J$33)^DCF!$N$6+(DCF!$C$30-DCF!$C$31+DCF!$C$32))/DCF!$C$34)</f>
        <v>803.6753830456846</v>
      </c>
      <c r="K35" s="74">
        <f>Assumptions!$C$12*((SUMPRODUCT(DCF!$E$11:$N$11,1/(1+K$33)^DCF!$E$7:$N$7)+DCF!$N$9*(1+$B35)/(K$33-$B35)/(1+K$33)^DCF!$N$6+(DCF!$C$30-DCF!$C$31+DCF!$C$32))/DCF!$C$34)+(1-Assumptions!$C$12)*((SUMPRODUCT(DCF!$E$11:$N$11,1/(1+K$33)^DCF!$E$7:$N$7)+Forecast!$Q$14*Assumptions!$E$142/(1+K$33)^DCF!$N$6+(DCF!$C$30-DCF!$C$31+DCF!$C$32))/DCF!$C$34)</f>
        <v>772.3297378168666</v>
      </c>
    </row>
    <row r="36">
      <c r="B36" s="73">
        <f>$B$38+(-2)*$N$6</f>
        <v>0.02</v>
      </c>
      <c r="C36" s="74">
        <f>Assumptions!$C$12*((SUMPRODUCT(DCF!$E$11:$N$11,1/(1+C$33)^DCF!$E$7:$N$7)+DCF!$N$9*(1+$B36)/(C$33-$B36)/(1+C$33)^DCF!$N$6+(DCF!$C$30-DCF!$C$31+DCF!$C$32))/DCF!$C$34)+(1-Assumptions!$C$12)*((SUMPRODUCT(DCF!$E$11:$N$11,1/(1+C$33)^DCF!$E$7:$N$7)+Forecast!$Q$14*Assumptions!$E$142/(1+C$33)^DCF!$N$6+(DCF!$C$30-DCF!$C$31+DCF!$C$32))/DCF!$C$34)</f>
        <v>1135.4682741437293</v>
      </c>
      <c r="D36" s="74">
        <f>Assumptions!$C$12*((SUMPRODUCT(DCF!$E$11:$N$11,1/(1+D$33)^DCF!$E$7:$N$7)+DCF!$N$9*(1+$B36)/(D$33-$B36)/(1+D$33)^DCF!$N$6+(DCF!$C$30-DCF!$C$31+DCF!$C$32))/DCF!$C$34)+(1-Assumptions!$C$12)*((SUMPRODUCT(DCF!$E$11:$N$11,1/(1+D$33)^DCF!$E$7:$N$7)+Forecast!$Q$14*Assumptions!$E$142/(1+D$33)^DCF!$N$6+(DCF!$C$30-DCF!$C$31+DCF!$C$32))/DCF!$C$34)</f>
        <v>1071.9277672366757</v>
      </c>
      <c r="E36" s="74">
        <f>Assumptions!$C$12*((SUMPRODUCT(DCF!$E$11:$N$11,1/(1+E$33)^DCF!$E$7:$N$7)+DCF!$N$9*(1+$B36)/(E$33-$B36)/(1+E$33)^DCF!$N$6+(DCF!$C$30-DCF!$C$31+DCF!$C$32))/DCF!$C$34)+(1-Assumptions!$C$12)*((SUMPRODUCT(DCF!$E$11:$N$11,1/(1+E$33)^DCF!$E$7:$N$7)+Forecast!$Q$14*Assumptions!$E$142/(1+E$33)^DCF!$N$6+(DCF!$C$30-DCF!$C$31+DCF!$C$32))/DCF!$C$34)</f>
        <v>1015.8726607366591</v>
      </c>
      <c r="F36" s="74">
        <f>Assumptions!$C$12*((SUMPRODUCT(DCF!$E$11:$N$11,1/(1+F$33)^DCF!$E$7:$N$7)+DCF!$N$9*(1+$B36)/(F$33-$B36)/(1+F$33)^DCF!$N$6+(DCF!$C$30-DCF!$C$31+DCF!$C$32))/DCF!$C$34)+(1-Assumptions!$C$12)*((SUMPRODUCT(DCF!$E$11:$N$11,1/(1+F$33)^DCF!$E$7:$N$7)+Forecast!$Q$14*Assumptions!$E$142/(1+F$33)^DCF!$N$6+(DCF!$C$30-DCF!$C$31+DCF!$C$32))/DCF!$C$34)</f>
        <v>965.8338543402389</v>
      </c>
      <c r="G36" s="74">
        <f>Assumptions!$C$12*((SUMPRODUCT(DCF!$E$11:$N$11,1/(1+G$33)^DCF!$E$7:$N$7)+DCF!$N$9*(1+$B36)/(G$33-$B36)/(1+G$33)^DCF!$N$6+(DCF!$C$30-DCF!$C$31+DCF!$C$32))/DCF!$C$34)+(1-Assumptions!$C$12)*((SUMPRODUCT(DCF!$E$11:$N$11,1/(1+G$33)^DCF!$E$7:$N$7)+Forecast!$Q$14*Assumptions!$E$142/(1+G$33)^DCF!$N$6+(DCF!$C$30-DCF!$C$31+DCF!$C$32))/DCF!$C$34)</f>
        <v>920.7301246197676</v>
      </c>
      <c r="H36" s="74">
        <f>Assumptions!$C$12*((SUMPRODUCT(DCF!$E$11:$N$11,1/(1+H$33)^DCF!$E$7:$N$7)+DCF!$N$9*(1+$B36)/(H$33-$B36)/(1+H$33)^DCF!$N$6+(DCF!$C$30-DCF!$C$31+DCF!$C$32))/DCF!$C$34)+(1-Assumptions!$C$12)*((SUMPRODUCT(DCF!$E$11:$N$11,1/(1+H$33)^DCF!$E$7:$N$7)+Forecast!$Q$14*Assumptions!$E$142/(1+H$33)^DCF!$N$6+(DCF!$C$30-DCF!$C$31+DCF!$C$32))/DCF!$C$34)</f>
        <v>879.7457033651039</v>
      </c>
      <c r="I36" s="74">
        <f>Assumptions!$C$12*((SUMPRODUCT(DCF!$E$11:$N$11,1/(1+I$33)^DCF!$E$7:$N$7)+DCF!$N$9*(1+$B36)/(I$33-$B36)/(1+I$33)^DCF!$N$6+(DCF!$C$30-DCF!$C$31+DCF!$C$32))/DCF!$C$34)+(1-Assumptions!$C$12)*((SUMPRODUCT(DCF!$E$11:$N$11,1/(1+I$33)^DCF!$E$7:$N$7)+Forecast!$Q$14*Assumptions!$E$142/(1+I$33)^DCF!$N$6+(DCF!$C$30-DCF!$C$31+DCF!$C$32))/DCF!$C$34)</f>
        <v>842.2516483727591</v>
      </c>
      <c r="J36" s="74">
        <f>Assumptions!$C$12*((SUMPRODUCT(DCF!$E$11:$N$11,1/(1+J$33)^DCF!$E$7:$N$7)+DCF!$N$9*(1+$B36)/(J$33-$B36)/(1+J$33)^DCF!$N$6+(DCF!$C$30-DCF!$C$31+DCF!$C$32))/DCF!$C$34)+(1-Assumptions!$C$12)*((SUMPRODUCT(DCF!$E$11:$N$11,1/(1+J$33)^DCF!$E$7:$N$7)+Forecast!$Q$14*Assumptions!$E$142/(1+J$33)^DCF!$N$6+(DCF!$C$30-DCF!$C$31+DCF!$C$32))/DCF!$C$34)</f>
        <v>807.7537453145927</v>
      </c>
      <c r="K36" s="74">
        <f>Assumptions!$C$12*((SUMPRODUCT(DCF!$E$11:$N$11,1/(1+K$33)^DCF!$E$7:$N$7)+DCF!$N$9*(1+$B36)/(K$33-$B36)/(1+K$33)^DCF!$N$6+(DCF!$C$30-DCF!$C$31+DCF!$C$32))/DCF!$C$34)+(1-Assumptions!$C$12)*((SUMPRODUCT(DCF!$E$11:$N$11,1/(1+K$33)^DCF!$E$7:$N$7)+Forecast!$Q$14*Assumptions!$E$142/(1+K$33)^DCF!$N$6+(DCF!$C$30-DCF!$C$31+DCF!$C$32))/DCF!$C$34)</f>
        <v>775.8570416021495</v>
      </c>
    </row>
    <row r="37">
      <c r="B37" s="73">
        <f>$B$38+(-1)*$N$6</f>
        <v>0.022500000000000003</v>
      </c>
      <c r="C37" s="74">
        <f>Assumptions!$C$12*((SUMPRODUCT(DCF!$E$11:$N$11,1/(1+C$33)^DCF!$E$7:$N$7)+DCF!$N$9*(1+$B37)/(C$33-$B37)/(1+C$33)^DCF!$N$6+(DCF!$C$30-DCF!$C$31+DCF!$C$32))/DCF!$C$34)+(1-Assumptions!$C$12)*((SUMPRODUCT(DCF!$E$11:$N$11,1/(1+C$33)^DCF!$E$7:$N$7)+Forecast!$Q$14*Assumptions!$E$142/(1+C$33)^DCF!$N$6+(DCF!$C$30-DCF!$C$31+DCF!$C$32))/DCF!$C$34)</f>
        <v>1151.0743474639075</v>
      </c>
      <c r="D37" s="74">
        <f>Assumptions!$C$12*((SUMPRODUCT(DCF!$E$11:$N$11,1/(1+D$33)^DCF!$E$7:$N$7)+DCF!$N$9*(1+$B37)/(D$33-$B37)/(1+D$33)^DCF!$N$6+(DCF!$C$30-DCF!$C$31+DCF!$C$32))/DCF!$C$34)+(1-Assumptions!$C$12)*((SUMPRODUCT(DCF!$E$11:$N$11,1/(1+D$33)^DCF!$E$7:$N$7)+Forecast!$Q$14*Assumptions!$E$142/(1+D$33)^DCF!$N$6+(DCF!$C$30-DCF!$C$31+DCF!$C$32))/DCF!$C$34)</f>
        <v>1084.4496047150687</v>
      </c>
      <c r="E37" s="74">
        <f>Assumptions!$C$12*((SUMPRODUCT(DCF!$E$11:$N$11,1/(1+E$33)^DCF!$E$7:$N$7)+DCF!$N$9*(1+$B37)/(E$33-$B37)/(1+E$33)^DCF!$N$6+(DCF!$C$30-DCF!$C$31+DCF!$C$32))/DCF!$C$34)+(1-Assumptions!$C$12)*((SUMPRODUCT(DCF!$E$11:$N$11,1/(1+E$33)^DCF!$E$7:$N$7)+Forecast!$Q$14*Assumptions!$E$142/(1+E$33)^DCF!$N$6+(DCF!$C$30-DCF!$C$31+DCF!$C$32))/DCF!$C$34)</f>
        <v>1026.0753483663616</v>
      </c>
      <c r="F37" s="74">
        <f>Assumptions!$C$12*((SUMPRODUCT(DCF!$E$11:$N$11,1/(1+F$33)^DCF!$E$7:$N$7)+DCF!$N$9*(1+$B37)/(F$33-$B37)/(1+F$33)^DCF!$N$6+(DCF!$C$30-DCF!$C$31+DCF!$C$32))/DCF!$C$34)+(1-Assumptions!$C$12)*((SUMPRODUCT(DCF!$E$11:$N$11,1/(1+F$33)^DCF!$E$7:$N$7)+Forecast!$Q$14*Assumptions!$E$142/(1+F$33)^DCF!$N$6+(DCF!$C$30-DCF!$C$31+DCF!$C$32))/DCF!$C$34)</f>
        <v>974.255858569102</v>
      </c>
      <c r="G37" s="74">
        <f>Assumptions!$C$12*((SUMPRODUCT(DCF!$E$11:$N$11,1/(1+G$33)^DCF!$E$7:$N$7)+DCF!$N$9*(1+$B37)/(G$33-$B37)/(1+G$33)^DCF!$N$6+(DCF!$C$30-DCF!$C$31+DCF!$C$32))/DCF!$C$34)+(1-Assumptions!$C$12)*((SUMPRODUCT(DCF!$E$11:$N$11,1/(1+G$33)^DCF!$E$7:$N$7)+Forecast!$Q$14*Assumptions!$E$142/(1+G$33)^DCF!$N$6+(DCF!$C$30-DCF!$C$31+DCF!$C$32))/DCF!$C$34)</f>
        <v>927.7603861393834</v>
      </c>
      <c r="H37" s="74">
        <f>Assumptions!$C$12*((SUMPRODUCT(DCF!$E$11:$N$11,1/(1+H$33)^DCF!$E$7:$N$7)+DCF!$N$9*(1+$B37)/(H$33-$B37)/(1+H$33)^DCF!$N$6+(DCF!$C$30-DCF!$C$31+DCF!$C$32))/DCF!$C$34)+(1-Assumptions!$C$12)*((SUMPRODUCT(DCF!$E$11:$N$11,1/(1+H$33)^DCF!$E$7:$N$7)+Forecast!$Q$14*Assumptions!$E$142/(1+H$33)^DCF!$N$6+(DCF!$C$30-DCF!$C$31+DCF!$C$32))/DCF!$C$34)</f>
        <v>885.6714570695106</v>
      </c>
      <c r="I37" s="74">
        <f>Assumptions!$C$12*((SUMPRODUCT(DCF!$E$11:$N$11,1/(1+I$33)^DCF!$E$7:$N$7)+DCF!$N$9*(1+$B37)/(I$33-$B37)/(1+I$33)^DCF!$N$6+(DCF!$C$30-DCF!$C$31+DCF!$C$32))/DCF!$C$34)+(1-Assumptions!$C$12)*((SUMPRODUCT(DCF!$E$11:$N$11,1/(1+I$33)^DCF!$E$7:$N$7)+Forecast!$Q$14*Assumptions!$E$142/(1+I$33)^DCF!$N$6+(DCF!$C$30-DCF!$C$31+DCF!$C$32))/DCF!$C$34)</f>
        <v>847.2891209827699</v>
      </c>
      <c r="J37" s="74">
        <f>Assumptions!$C$12*((SUMPRODUCT(DCF!$E$11:$N$11,1/(1+J$33)^DCF!$E$7:$N$7)+DCF!$N$9*(1+$B37)/(J$33-$B37)/(1+J$33)^DCF!$N$6+(DCF!$C$30-DCF!$C$31+DCF!$C$32))/DCF!$C$34)+(1-Assumptions!$C$12)*((SUMPRODUCT(DCF!$E$11:$N$11,1/(1+J$33)^DCF!$E$7:$N$7)+Forecast!$Q$14*Assumptions!$E$142/(1+J$33)^DCF!$N$6+(DCF!$C$30-DCF!$C$31+DCF!$C$32))/DCF!$C$34)</f>
        <v>812.0684526881512</v>
      </c>
      <c r="K37" s="74">
        <f>Assumptions!$C$12*((SUMPRODUCT(DCF!$E$11:$N$11,1/(1+K$33)^DCF!$E$7:$N$7)+DCF!$N$9*(1+$B37)/(K$33-$B37)/(1+K$33)^DCF!$N$6+(DCF!$C$30-DCF!$C$31+DCF!$C$32))/DCF!$C$34)+(1-Assumptions!$C$12)*((SUMPRODUCT(DCF!$E$11:$N$11,1/(1+K$33)^DCF!$E$7:$N$7)+Forecast!$Q$14*Assumptions!$E$142/(1+K$33)^DCF!$N$6+(DCF!$C$30-DCF!$C$31+DCF!$C$32))/DCF!$C$34)</f>
        <v>779.5775591815764</v>
      </c>
    </row>
    <row r="38">
      <c r="B38" s="73">
        <f>Assumptions!$E$137</f>
        <v>0.025</v>
      </c>
      <c r="C38" s="74">
        <f>Assumptions!$C$12*((SUMPRODUCT(DCF!$E$11:$N$11,1/(1+C$33)^DCF!$E$7:$N$7)+DCF!$N$9*(1+$B38)/(C$33-$B38)/(1+C$33)^DCF!$N$6+(DCF!$C$30-DCF!$C$31+DCF!$C$32))/DCF!$C$34)+(1-Assumptions!$C$12)*((SUMPRODUCT(DCF!$E$11:$N$11,1/(1+C$33)^DCF!$E$7:$N$7)+Forecast!$Q$14*Assumptions!$E$142/(1+C$33)^DCF!$N$6+(DCF!$C$30-DCF!$C$31+DCF!$C$32))/DCF!$C$34)</f>
        <v>1168.2800654403195</v>
      </c>
      <c r="D38" s="74">
        <f>Assumptions!$C$12*((SUMPRODUCT(DCF!$E$11:$N$11,1/(1+D$33)^DCF!$E$7:$N$7)+DCF!$N$9*(1+$B38)/(D$33-$B38)/(1+D$33)^DCF!$N$6+(DCF!$C$30-DCF!$C$31+DCF!$C$32))/DCF!$C$34)+(1-Assumptions!$C$12)*((SUMPRODUCT(DCF!$E$11:$N$11,1/(1+D$33)^DCF!$E$7:$N$7)+Forecast!$Q$14*Assumptions!$E$142/(1+D$33)^DCF!$N$6+(DCF!$C$30-DCF!$C$31+DCF!$C$32))/DCF!$C$34)</f>
        <v>1098.1356185699433</v>
      </c>
      <c r="E38" s="74">
        <f>Assumptions!$C$12*((SUMPRODUCT(DCF!$E$11:$N$11,1/(1+E$33)^DCF!$E$7:$N$7)+DCF!$N$9*(1+$B38)/(E$33-$B38)/(1+E$33)^DCF!$N$6+(DCF!$C$30-DCF!$C$31+DCF!$C$32))/DCF!$C$34)+(1-Assumptions!$C$12)*((SUMPRODUCT(DCF!$E$11:$N$11,1/(1+E$33)^DCF!$E$7:$N$7)+Forecast!$Q$14*Assumptions!$E$142/(1+E$33)^DCF!$N$6+(DCF!$C$30-DCF!$C$31+DCF!$C$32))/DCF!$C$34)</f>
        <v>1037.1459094354063</v>
      </c>
      <c r="F38" s="74">
        <f>Assumptions!$C$12*((SUMPRODUCT(DCF!$E$11:$N$11,1/(1+F$33)^DCF!$E$7:$N$7)+DCF!$N$9*(1+$B38)/(F$33-$B38)/(1+F$33)^DCF!$N$6+(DCF!$C$30-DCF!$C$31+DCF!$C$32))/DCF!$C$34)+(1-Assumptions!$C$12)*((SUMPRODUCT(DCF!$E$11:$N$11,1/(1+F$33)^DCF!$E$7:$N$7)+Forecast!$Q$14*Assumptions!$E$142/(1+F$33)^DCF!$N$6+(DCF!$C$30-DCF!$C$31+DCF!$C$32))/DCF!$C$34)</f>
        <v>983.3381033883627</v>
      </c>
      <c r="G38" s="75">
        <f>Assumptions!$C$12*((SUMPRODUCT(DCF!$E$11:$N$11,1/(1+G$33)^DCF!$E$7:$N$7)+DCF!$N$9*(1+$B38)/(G$33-$B38)/(1+G$33)^DCF!$N$6+(DCF!$C$30-DCF!$C$31+DCF!$C$32))/DCF!$C$34)+(1-Assumptions!$C$12)*((SUMPRODUCT(DCF!$E$11:$N$11,1/(1+G$33)^DCF!$E$7:$N$7)+Forecast!$Q$14*Assumptions!$E$142/(1+G$33)^DCF!$N$6+(DCF!$C$30-DCF!$C$31+DCF!$C$32))/DCF!$C$34)</f>
        <v>935.3017177863446</v>
      </c>
      <c r="H38" s="74">
        <f>Assumptions!$C$12*((SUMPRODUCT(DCF!$E$11:$N$11,1/(1+H$33)^DCF!$E$7:$N$7)+DCF!$N$9*(1+$B38)/(H$33-$B38)/(1+H$33)^DCF!$N$6+(DCF!$C$30-DCF!$C$31+DCF!$C$32))/DCF!$C$34)+(1-Assumptions!$C$12)*((SUMPRODUCT(DCF!$E$11:$N$11,1/(1+H$33)^DCF!$E$7:$N$7)+Forecast!$Q$14*Assumptions!$E$142/(1+H$33)^DCF!$N$6+(DCF!$C$30-DCF!$C$31+DCF!$C$32))/DCF!$C$34)</f>
        <v>891.9987944519867</v>
      </c>
      <c r="I38" s="74">
        <f>Assumptions!$C$12*((SUMPRODUCT(DCF!$E$11:$N$11,1/(1+I$33)^DCF!$E$7:$N$7)+DCF!$N$9*(1+$B38)/(I$33-$B38)/(1+I$33)^DCF!$N$6+(DCF!$C$30-DCF!$C$31+DCF!$C$32))/DCF!$C$34)+(1-Assumptions!$C$12)*((SUMPRODUCT(DCF!$E$11:$N$11,1/(1+I$33)^DCF!$E$7:$N$7)+Forecast!$Q$14*Assumptions!$E$142/(1+I$33)^DCF!$N$6+(DCF!$C$30-DCF!$C$31+DCF!$C$32))/DCF!$C$34)</f>
        <v>852.6463120867725</v>
      </c>
      <c r="J38" s="74">
        <f>Assumptions!$C$12*((SUMPRODUCT(DCF!$E$11:$N$11,1/(1+J$33)^DCF!$E$7:$N$7)+DCF!$N$9*(1+$B38)/(J$33-$B38)/(1+J$33)^DCF!$N$6+(DCF!$C$30-DCF!$C$31+DCF!$C$32))/DCF!$C$34)+(1-Assumptions!$C$12)*((SUMPRODUCT(DCF!$E$11:$N$11,1/(1+J$33)^DCF!$E$7:$N$7)+Forecast!$Q$14*Assumptions!$E$142/(1+J$33)^DCF!$N$6+(DCF!$C$30-DCF!$C$31+DCF!$C$32))/DCF!$C$34)</f>
        <v>816.6406628680697</v>
      </c>
      <c r="K38" s="74">
        <f>Assumptions!$C$12*((SUMPRODUCT(DCF!$E$11:$N$11,1/(1+K$33)^DCF!$E$7:$N$7)+DCF!$N$9*(1+$B38)/(K$33-$B38)/(1+K$33)^DCF!$N$6+(DCF!$C$30-DCF!$C$31+DCF!$C$32))/DCF!$C$34)+(1-Assumptions!$C$12)*((SUMPRODUCT(DCF!$E$11:$N$11,1/(1+K$33)^DCF!$E$7:$N$7)+Forecast!$Q$14*Assumptions!$E$142/(1+K$33)^DCF!$N$6+(DCF!$C$30-DCF!$C$31+DCF!$C$32))/DCF!$C$34)</f>
        <v>783.5076129984279</v>
      </c>
    </row>
    <row r="39">
      <c r="B39" s="73">
        <f>$B$38+(1)*$N$6</f>
        <v>0.0275</v>
      </c>
      <c r="C39" s="74">
        <f>Assumptions!$C$12*((SUMPRODUCT(DCF!$E$11:$N$11,1/(1+C$33)^DCF!$E$7:$N$7)+DCF!$N$9*(1+$B39)/(C$33-$B39)/(1+C$33)^DCF!$N$6+(DCF!$C$30-DCF!$C$31+DCF!$C$32))/DCF!$C$34)+(1-Assumptions!$C$12)*((SUMPRODUCT(DCF!$E$11:$N$11,1/(1+C$33)^DCF!$E$7:$N$7)+Forecast!$Q$14*Assumptions!$E$142/(1+C$33)^DCF!$N$6+(DCF!$C$30-DCF!$C$31+DCF!$C$32))/DCF!$C$34)</f>
        <v>1187.344662807092</v>
      </c>
      <c r="D39" s="74">
        <f>Assumptions!$C$12*((SUMPRODUCT(DCF!$E$11:$N$11,1/(1+D$33)^DCF!$E$7:$N$7)+DCF!$N$9*(1+$B39)/(D$33-$B39)/(1+D$33)^DCF!$N$6+(DCF!$C$30-DCF!$C$31+DCF!$C$32))/DCF!$C$34)+(1-Assumptions!$C$12)*((SUMPRODUCT(DCF!$E$11:$N$11,1/(1+D$33)^DCF!$E$7:$N$7)+Forecast!$Q$14*Assumptions!$E$142/(1+D$33)^DCF!$N$6+(DCF!$C$30-DCF!$C$31+DCF!$C$32))/DCF!$C$34)</f>
        <v>1113.1560770292106</v>
      </c>
      <c r="E39" s="74">
        <f>Assumptions!$C$12*((SUMPRODUCT(DCF!$E$11:$N$11,1/(1+E$33)^DCF!$E$7:$N$7)+DCF!$N$9*(1+$B39)/(E$33-$B39)/(1+E$33)^DCF!$N$6+(DCF!$C$30-DCF!$C$31+DCF!$C$32))/DCF!$C$34)+(1-Assumptions!$C$12)*((SUMPRODUCT(DCF!$E$11:$N$11,1/(1+E$33)^DCF!$E$7:$N$7)+Forecast!$Q$14*Assumptions!$E$142/(1+E$33)^DCF!$N$6+(DCF!$C$30-DCF!$C$31+DCF!$C$32))/DCF!$C$34)</f>
        <v>1049.1999991048767</v>
      </c>
      <c r="F39" s="74">
        <f>Assumptions!$C$12*((SUMPRODUCT(DCF!$E$11:$N$11,1/(1+F$33)^DCF!$E$7:$N$7)+DCF!$N$9*(1+$B39)/(F$33-$B39)/(1+F$33)^DCF!$N$6+(DCF!$C$30-DCF!$C$31+DCF!$C$32))/DCF!$C$34)+(1-Assumptions!$C$12)*((SUMPRODUCT(DCF!$E$11:$N$11,1/(1+F$33)^DCF!$E$7:$N$7)+Forecast!$Q$14*Assumptions!$E$142/(1+F$33)^DCF!$N$6+(DCF!$C$30-DCF!$C$31+DCF!$C$32))/DCF!$C$34)</f>
        <v>993.1613952531281</v>
      </c>
      <c r="G39" s="74">
        <f>Assumptions!$C$12*((SUMPRODUCT(DCF!$E$11:$N$11,1/(1+G$33)^DCF!$E$7:$N$7)+DCF!$N$9*(1+$B39)/(G$33-$B39)/(1+G$33)^DCF!$N$6+(DCF!$C$30-DCF!$C$31+DCF!$C$32))/DCF!$C$34)+(1-Assumptions!$C$12)*((SUMPRODUCT(DCF!$E$11:$N$11,1/(1+G$33)^DCF!$E$7:$N$7)+Forecast!$Q$14*Assumptions!$E$142/(1+G$33)^DCF!$N$6+(DCF!$C$30-DCF!$C$31+DCF!$C$32))/DCF!$C$34)</f>
        <v>943.4119505321519</v>
      </c>
      <c r="H39" s="74">
        <f>Assumptions!$C$12*((SUMPRODUCT(DCF!$E$11:$N$11,1/(1+H$33)^DCF!$E$7:$N$7)+DCF!$N$9*(1+$B39)/(H$33-$B39)/(1+H$33)^DCF!$N$6+(DCF!$C$30-DCF!$C$31+DCF!$C$32))/DCF!$C$34)+(1-Assumptions!$C$12)*((SUMPRODUCT(DCF!$E$11:$N$11,1/(1+H$33)^DCF!$E$7:$N$7)+Forecast!$Q$14*Assumptions!$E$142/(1+H$33)^DCF!$N$6+(DCF!$C$30-DCF!$C$31+DCF!$C$32))/DCF!$C$34)</f>
        <v>898.769969798487</v>
      </c>
      <c r="I39" s="74">
        <f>Assumptions!$C$12*((SUMPRODUCT(DCF!$E$11:$N$11,1/(1+I$33)^DCF!$E$7:$N$7)+DCF!$N$9*(1+$B39)/(I$33-$B39)/(1+I$33)^DCF!$N$6+(DCF!$C$30-DCF!$C$31+DCF!$C$32))/DCF!$C$34)+(1-Assumptions!$C$12)*((SUMPRODUCT(DCF!$E$11:$N$11,1/(1+I$33)^DCF!$E$7:$N$7)+Forecast!$Q$14*Assumptions!$E$142/(1+I$33)^DCF!$N$6+(DCF!$C$30-DCF!$C$31+DCF!$C$32))/DCF!$C$34)</f>
        <v>858.3546571146971</v>
      </c>
      <c r="J39" s="74">
        <f>Assumptions!$C$12*((SUMPRODUCT(DCF!$E$11:$N$11,1/(1+J$33)^DCF!$E$7:$N$7)+DCF!$N$9*(1+$B39)/(J$33-$B39)/(1+J$33)^DCF!$N$6+(DCF!$C$30-DCF!$C$31+DCF!$C$32))/DCF!$C$34)+(1-Assumptions!$C$12)*((SUMPRODUCT(DCF!$E$11:$N$11,1/(1+J$33)^DCF!$E$7:$N$7)+Forecast!$Q$14*Assumptions!$E$142/(1+J$33)^DCF!$N$6+(DCF!$C$30-DCF!$C$31+DCF!$C$32))/DCF!$C$34)</f>
        <v>821.4941366257541</v>
      </c>
      <c r="K39" s="74">
        <f>Assumptions!$C$12*((SUMPRODUCT(DCF!$E$11:$N$11,1/(1+K$33)^DCF!$E$7:$N$7)+DCF!$N$9*(1+$B39)/(K$33-$B39)/(1+K$33)^DCF!$N$6+(DCF!$C$30-DCF!$C$31+DCF!$C$32))/DCF!$C$34)+(1-Assumptions!$C$12)*((SUMPRODUCT(DCF!$E$11:$N$11,1/(1+K$33)^DCF!$E$7:$N$7)+Forecast!$Q$14*Assumptions!$E$142/(1+K$33)^DCF!$N$6+(DCF!$C$30-DCF!$C$31+DCF!$C$32))/DCF!$C$34)</f>
        <v>787.6654172992683</v>
      </c>
    </row>
    <row r="40">
      <c r="B40" s="73">
        <f>$B$38+(2)*$N$6</f>
        <v>0.030000000000000002</v>
      </c>
      <c r="C40" s="74">
        <f>Assumptions!$C$12*((SUMPRODUCT(DCF!$E$11:$N$11,1/(1+C$33)^DCF!$E$7:$N$7)+DCF!$N$9*(1+$B40)/(C$33-$B40)/(1+C$33)^DCF!$N$6+(DCF!$C$30-DCF!$C$31+DCF!$C$32))/DCF!$C$34)+(1-Assumptions!$C$12)*((SUMPRODUCT(DCF!$E$11:$N$11,1/(1+C$33)^DCF!$E$7:$N$7)+Forecast!$Q$14*Assumptions!$E$142/(1+C$33)^DCF!$N$6+(DCF!$C$30-DCF!$C$31+DCF!$C$32))/DCF!$C$34)</f>
        <v>1208.5865876020553</v>
      </c>
      <c r="D40" s="74">
        <f>Assumptions!$C$12*((SUMPRODUCT(DCF!$E$11:$N$11,1/(1+D$33)^DCF!$E$7:$N$7)+DCF!$N$9*(1+$B40)/(D$33-$B40)/(1+D$33)^DCF!$N$6+(DCF!$C$30-DCF!$C$31+DCF!$C$32))/DCF!$C$34)+(1-Assumptions!$C$12)*((SUMPRODUCT(DCF!$E$11:$N$11,1/(1+D$33)^DCF!$E$7:$N$7)+Forecast!$Q$14*Assumptions!$E$142/(1+D$33)^DCF!$N$6+(DCF!$C$30-DCF!$C$31+DCF!$C$32))/DCF!$C$34)</f>
        <v>1129.716153790635</v>
      </c>
      <c r="E40" s="74">
        <f>Assumptions!$C$12*((SUMPRODUCT(DCF!$E$11:$N$11,1/(1+E$33)^DCF!$E$7:$N$7)+DCF!$N$9*(1+$B40)/(E$33-$B40)/(1+E$33)^DCF!$N$6+(DCF!$C$30-DCF!$C$31+DCF!$C$32))/DCF!$C$34)+(1-Assumptions!$C$12)*((SUMPRODUCT(DCF!$E$11:$N$11,1/(1+E$33)^DCF!$E$7:$N$7)+Forecast!$Q$14*Assumptions!$E$142/(1+E$33)^DCF!$N$6+(DCF!$C$30-DCF!$C$31+DCF!$C$32))/DCF!$C$34)</f>
        <v>1062.3747778471288</v>
      </c>
      <c r="F40" s="74">
        <f>Assumptions!$C$12*((SUMPRODUCT(DCF!$E$11:$N$11,1/(1+F$33)^DCF!$E$7:$N$7)+DCF!$N$9*(1+$B40)/(F$33-$B40)/(1+F$33)^DCF!$N$6+(DCF!$C$30-DCF!$C$31+DCF!$C$32))/DCF!$C$34)+(1-Assumptions!$C$12)*((SUMPRODUCT(DCF!$E$11:$N$11,1/(1+F$33)^DCF!$E$7:$N$7)+Forecast!$Q$14*Assumptions!$E$142/(1+F$33)^DCF!$N$6+(DCF!$C$30-DCF!$C$31+DCF!$C$32))/DCF!$C$34)</f>
        <v>1003.8202879326748</v>
      </c>
      <c r="G40" s="74">
        <f>Assumptions!$C$12*((SUMPRODUCT(DCF!$E$11:$N$11,1/(1+G$33)^DCF!$E$7:$N$7)+DCF!$N$9*(1+$B40)/(G$33-$B40)/(1+G$33)^DCF!$N$6+(DCF!$C$30-DCF!$C$31+DCF!$C$32))/DCF!$C$34)+(1-Assumptions!$C$12)*((SUMPRODUCT(DCF!$E$11:$N$11,1/(1+G$33)^DCF!$E$7:$N$7)+Forecast!$Q$14*Assumptions!$E$142/(1+G$33)^DCF!$N$6+(DCF!$C$30-DCF!$C$31+DCF!$C$32))/DCF!$C$34)</f>
        <v>952.1579826329396</v>
      </c>
      <c r="H40" s="74">
        <f>Assumptions!$C$12*((SUMPRODUCT(DCF!$E$11:$N$11,1/(1+H$33)^DCF!$E$7:$N$7)+DCF!$N$9*(1+$B40)/(H$33-$B40)/(1+H$33)^DCF!$N$6+(DCF!$C$30-DCF!$C$31+DCF!$C$32))/DCF!$C$34)+(1-Assumptions!$C$12)*((SUMPRODUCT(DCF!$E$11:$N$11,1/(1+H$33)^DCF!$E$7:$N$7)+Forecast!$Q$14*Assumptions!$E$142/(1+H$33)^DCF!$N$6+(DCF!$C$30-DCF!$C$31+DCF!$C$32))/DCF!$C$34)</f>
        <v>906.0333808089034</v>
      </c>
      <c r="I40" s="74">
        <f>Assumptions!$C$12*((SUMPRODUCT(DCF!$E$11:$N$11,1/(1+I$33)^DCF!$E$7:$N$7)+DCF!$N$9*(1+$B40)/(I$33-$B40)/(1+I$33)^DCF!$N$6+(DCF!$C$30-DCF!$C$31+DCF!$C$32))/DCF!$C$34)+(1-Assumptions!$C$12)*((SUMPRODUCT(DCF!$E$11:$N$11,1/(1+I$33)^DCF!$E$7:$N$7)+Forecast!$Q$14*Assumptions!$E$142/(1+I$33)^DCF!$N$6+(DCF!$C$30-DCF!$C$31+DCF!$C$32))/DCF!$C$34)</f>
        <v>864.4498522053065</v>
      </c>
      <c r="J40" s="74">
        <f>Assumptions!$C$12*((SUMPRODUCT(DCF!$E$11:$N$11,1/(1+J$33)^DCF!$E$7:$N$7)+DCF!$N$9*(1+$B40)/(J$33-$B40)/(1+J$33)^DCF!$N$6+(DCF!$C$30-DCF!$C$31+DCF!$C$32))/DCF!$C$34)+(1-Assumptions!$C$12)*((SUMPRODUCT(DCF!$E$11:$N$11,1/(1+J$33)^DCF!$E$7:$N$7)+Forecast!$Q$14*Assumptions!$E$142/(1+J$33)^DCF!$N$6+(DCF!$C$30-DCF!$C$31+DCF!$C$32))/DCF!$C$34)</f>
        <v>826.6556508316091</v>
      </c>
      <c r="K40" s="74">
        <f>Assumptions!$C$12*((SUMPRODUCT(DCF!$E$11:$N$11,1/(1+K$33)^DCF!$E$7:$N$7)+DCF!$N$9*(1+$B40)/(K$33-$B40)/(1+K$33)^DCF!$N$6+(DCF!$C$30-DCF!$C$31+DCF!$C$32))/DCF!$C$34)+(1-Assumptions!$C$12)*((SUMPRODUCT(DCF!$E$11:$N$11,1/(1+K$33)^DCF!$E$7:$N$7)+Forecast!$Q$14*Assumptions!$E$142/(1+K$33)^DCF!$N$6+(DCF!$C$30-DCF!$C$31+DCF!$C$32))/DCF!$C$34)</f>
        <v>792.0713603921677</v>
      </c>
    </row>
    <row r="41">
      <c r="B41" s="73">
        <f>$B$38+(3)*$N$6</f>
        <v>0.0325</v>
      </c>
      <c r="C41" s="74">
        <f>Assumptions!$C$12*((SUMPRODUCT(DCF!$E$11:$N$11,1/(1+C$33)^DCF!$E$7:$N$7)+DCF!$N$9*(1+$B41)/(C$33-$B41)/(1+C$33)^DCF!$N$6+(DCF!$C$30-DCF!$C$31+DCF!$C$32))/DCF!$C$34)+(1-Assumptions!$C$12)*((SUMPRODUCT(DCF!$E$11:$N$11,1/(1+C$33)^DCF!$E$7:$N$7)+Forecast!$Q$14*Assumptions!$E$142/(1+C$33)^DCF!$N$6+(DCF!$C$30-DCF!$C$31+DCF!$C$32))/DCF!$C$34)</f>
        <v>1232.4014316332205</v>
      </c>
      <c r="D41" s="74">
        <f>Assumptions!$C$12*((SUMPRODUCT(DCF!$E$11:$N$11,1/(1+D$33)^DCF!$E$7:$N$7)+DCF!$N$9*(1+$B41)/(D$33-$B41)/(1+D$33)^DCF!$N$6+(DCF!$C$30-DCF!$C$31+DCF!$C$32))/DCF!$C$34)+(1-Assumptions!$C$12)*((SUMPRODUCT(DCF!$E$11:$N$11,1/(1+D$33)^DCF!$E$7:$N$7)+Forecast!$Q$14*Assumptions!$E$142/(1+D$33)^DCF!$N$6+(DCF!$C$30-DCF!$C$31+DCF!$C$32))/DCF!$C$34)</f>
        <v>1148.0653558554493</v>
      </c>
      <c r="E41" s="74">
        <f>Assumptions!$C$12*((SUMPRODUCT(DCF!$E$11:$N$11,1/(1+E$33)^DCF!$E$7:$N$7)+DCF!$N$9*(1+$B41)/(E$33-$B41)/(1+E$33)^DCF!$N$6+(DCF!$C$30-DCF!$C$31+DCF!$C$32))/DCF!$C$34)+(1-Assumptions!$C$12)*((SUMPRODUCT(DCF!$E$11:$N$11,1/(1+E$33)^DCF!$E$7:$N$7)+Forecast!$Q$14*Assumptions!$E$142/(1+E$33)^DCF!$N$6+(DCF!$C$30-DCF!$C$31+DCF!$C$32))/DCF!$C$34)</f>
        <v>1076.834153594257</v>
      </c>
      <c r="F41" s="74">
        <f>Assumptions!$C$12*((SUMPRODUCT(DCF!$E$11:$N$11,1/(1+F$33)^DCF!$E$7:$N$7)+DCF!$N$9*(1+$B41)/(F$33-$B41)/(1+F$33)^DCF!$N$6+(DCF!$C$30-DCF!$C$31+DCF!$C$32))/DCF!$C$34)+(1-Assumptions!$C$12)*((SUMPRODUCT(DCF!$E$11:$N$11,1/(1+F$33)^DCF!$E$7:$N$7)+Forecast!$Q$14*Assumptions!$E$142/(1+F$33)^DCF!$N$6+(DCF!$C$30-DCF!$C$31+DCF!$C$32))/DCF!$C$34)</f>
        <v>1015.4261358508777</v>
      </c>
      <c r="G41" s="74">
        <f>Assumptions!$C$12*((SUMPRODUCT(DCF!$E$11:$N$11,1/(1+G$33)^DCF!$E$7:$N$7)+DCF!$N$9*(1+$B41)/(G$33-$B41)/(1+G$33)^DCF!$N$6+(DCF!$C$30-DCF!$C$31+DCF!$C$32))/DCF!$C$34)+(1-Assumptions!$C$12)*((SUMPRODUCT(DCF!$E$11:$N$11,1/(1+G$33)^DCF!$E$7:$N$7)+Forecast!$Q$14*Assumptions!$E$142/(1+G$33)^DCF!$N$6+(DCF!$C$30-DCF!$C$31+DCF!$C$32))/DCF!$C$34)</f>
        <v>961.6176291954771</v>
      </c>
      <c r="H41" s="74">
        <f>Assumptions!$C$12*((SUMPRODUCT(DCF!$E$11:$N$11,1/(1+H$33)^DCF!$E$7:$N$7)+DCF!$N$9*(1+$B41)/(H$33-$B41)/(1+H$33)^DCF!$N$6+(DCF!$C$30-DCF!$C$31+DCF!$C$32))/DCF!$C$34)+(1-Assumptions!$C$12)*((SUMPRODUCT(DCF!$E$11:$N$11,1/(1+H$33)^DCF!$E$7:$N$7)+Forecast!$Q$14*Assumptions!$E$142/(1+H$33)^DCF!$N$6+(DCF!$C$30-DCF!$C$31+DCF!$C$32))/DCF!$C$34)</f>
        <v>913.8447272103939</v>
      </c>
      <c r="I41" s="74">
        <f>Assumptions!$C$12*((SUMPRODUCT(DCF!$E$11:$N$11,1/(1+I$33)^DCF!$E$7:$N$7)+DCF!$N$9*(1+$B41)/(I$33-$B41)/(1+I$33)^DCF!$N$6+(DCF!$C$30-DCF!$C$31+DCF!$C$32))/DCF!$C$34)+(1-Assumptions!$C$12)*((SUMPRODUCT(DCF!$E$11:$N$11,1/(1+I$33)^DCF!$E$7:$N$7)+Forecast!$Q$14*Assumptions!$E$142/(1+I$33)^DCF!$N$6+(DCF!$C$30-DCF!$C$31+DCF!$C$32))/DCF!$C$34)</f>
        <v>870.9726013863358</v>
      </c>
      <c r="J41" s="74">
        <f>Assumptions!$C$12*((SUMPRODUCT(DCF!$E$11:$N$11,1/(1+J$33)^DCF!$E$7:$N$7)+DCF!$N$9*(1+$B41)/(J$33-$B41)/(1+J$33)^DCF!$N$6+(DCF!$C$30-DCF!$C$31+DCF!$C$32))/DCF!$C$34)+(1-Assumptions!$C$12)*((SUMPRODUCT(DCF!$E$11:$N$11,1/(1+J$33)^DCF!$E$7:$N$7)+Forecast!$Q$14*Assumptions!$E$142/(1+J$33)^DCF!$N$6+(DCF!$C$30-DCF!$C$31+DCF!$C$32))/DCF!$C$34)</f>
        <v>832.1554927042541</v>
      </c>
      <c r="K41" s="74">
        <f>Assumptions!$C$12*((SUMPRODUCT(DCF!$E$11:$N$11,1/(1+K$33)^DCF!$E$7:$N$7)+DCF!$N$9*(1+$B41)/(K$33-$B41)/(1+K$33)^DCF!$N$6+(DCF!$C$30-DCF!$C$31+DCF!$C$32))/DCF!$C$34)+(1-Assumptions!$C$12)*((SUMPRODUCT(DCF!$E$11:$N$11,1/(1+K$33)^DCF!$E$7:$N$7)+Forecast!$Q$14*Assumptions!$E$142/(1+K$33)^DCF!$N$6+(DCF!$C$30-DCF!$C$31+DCF!$C$32))/DCF!$C$34)</f>
        <v>796.7483389950232</v>
      </c>
    </row>
    <row r="42">
      <c r="B42" s="73">
        <f>$B$38+(4)*$N$6</f>
        <v>0.035</v>
      </c>
      <c r="C42" s="74">
        <f>Assumptions!$C$12*((SUMPRODUCT(DCF!$E$11:$N$11,1/(1+C$33)^DCF!$E$7:$N$7)+DCF!$N$9*(1+$B42)/(C$33-$B42)/(1+C$33)^DCF!$N$6+(DCF!$C$30-DCF!$C$31+DCF!$C$32))/DCF!$C$34)+(1-Assumptions!$C$12)*((SUMPRODUCT(DCF!$E$11:$N$11,1/(1+C$33)^DCF!$E$7:$N$7)+Forecast!$Q$14*Assumptions!$E$142/(1+C$33)^DCF!$N$6+(DCF!$C$30-DCF!$C$31+DCF!$C$32))/DCF!$C$34)</f>
        <v>1259.2867964351046</v>
      </c>
      <c r="D42" s="74">
        <f>Assumptions!$C$12*((SUMPRODUCT(DCF!$E$11:$N$11,1/(1+D$33)^DCF!$E$7:$N$7)+DCF!$N$9*(1+$B42)/(D$33-$B42)/(1+D$33)^DCF!$N$6+(DCF!$C$30-DCF!$C$31+DCF!$C$32))/DCF!$C$34)+(1-Assumptions!$C$12)*((SUMPRODUCT(DCF!$E$11:$N$11,1/(1+D$33)^DCF!$E$7:$N$7)+Forecast!$Q$14*Assumptions!$E$142/(1+D$33)^DCF!$N$6+(DCF!$C$30-DCF!$C$31+DCF!$C$32))/DCF!$C$34)</f>
        <v>1168.5101815609064</v>
      </c>
      <c r="E42" s="74">
        <f>Assumptions!$C$12*((SUMPRODUCT(DCF!$E$11:$N$11,1/(1+E$33)^DCF!$E$7:$N$7)+DCF!$N$9*(1+$B42)/(E$33-$B42)/(1+E$33)^DCF!$N$6+(DCF!$C$30-DCF!$C$31+DCF!$C$32))/DCF!$C$34)+(1-Assumptions!$C$12)*((SUMPRODUCT(DCF!$E$11:$N$11,1/(1+E$33)^DCF!$E$7:$N$7)+Forecast!$Q$14*Assumptions!$E$142/(1+E$33)^DCF!$N$6+(DCF!$C$30-DCF!$C$31+DCF!$C$32))/DCF!$C$34)</f>
        <v>1092.7756358695194</v>
      </c>
      <c r="F42" s="74">
        <f>Assumptions!$C$12*((SUMPRODUCT(DCF!$E$11:$N$11,1/(1+F$33)^DCF!$E$7:$N$7)+DCF!$N$9*(1+$B42)/(F$33-$B42)/(1+F$33)^DCF!$N$6+(DCF!$C$30-DCF!$C$31+DCF!$C$32))/DCF!$C$34)+(1-Assumptions!$C$12)*((SUMPRODUCT(DCF!$E$11:$N$11,1/(1+F$33)^DCF!$E$7:$N$7)+Forecast!$Q$14*Assumptions!$E$142/(1+F$33)^DCF!$N$6+(DCF!$C$30-DCF!$C$31+DCF!$C$32))/DCF!$C$34)</f>
        <v>1028.110999049284</v>
      </c>
      <c r="G42" s="74">
        <f>Assumptions!$C$12*((SUMPRODUCT(DCF!$E$11:$N$11,1/(1+G$33)^DCF!$E$7:$N$7)+DCF!$N$9*(1+$B42)/(G$33-$B42)/(1+G$33)^DCF!$N$6+(DCF!$C$30-DCF!$C$31+DCF!$C$32))/DCF!$C$34)+(1-Assumptions!$C$12)*((SUMPRODUCT(DCF!$E$11:$N$11,1/(1+G$33)^DCF!$E$7:$N$7)+Forecast!$Q$14*Assumptions!$E$142/(1+G$33)^DCF!$N$6+(DCF!$C$30-DCF!$C$31+DCF!$C$32))/DCF!$C$34)</f>
        <v>971.8819437332736</v>
      </c>
      <c r="H42" s="74">
        <f>Assumptions!$C$12*((SUMPRODUCT(DCF!$E$11:$N$11,1/(1+H$33)^DCF!$E$7:$N$7)+DCF!$N$9*(1+$B42)/(H$33-$B42)/(1+H$33)^DCF!$N$6+(DCF!$C$30-DCF!$C$31+DCF!$C$32))/DCF!$C$34)+(1-Assumptions!$C$12)*((SUMPRODUCT(DCF!$E$11:$N$11,1/(1+H$33)^DCF!$E$7:$N$7)+Forecast!$Q$14*Assumptions!$E$142/(1+H$33)^DCF!$N$6+(DCF!$C$30-DCF!$C$31+DCF!$C$32))/DCF!$C$34)</f>
        <v>922.2684418581798</v>
      </c>
      <c r="I42" s="74">
        <f>Assumptions!$C$12*((SUMPRODUCT(DCF!$E$11:$N$11,1/(1+I$33)^DCF!$E$7:$N$7)+DCF!$N$9*(1+$B42)/(I$33-$B42)/(1+I$33)^DCF!$N$6+(DCF!$C$30-DCF!$C$31+DCF!$C$32))/DCF!$C$34)+(1-Assumptions!$C$12)*((SUMPRODUCT(DCF!$E$11:$N$11,1/(1+I$33)^DCF!$E$7:$N$7)+Forecast!$Q$14*Assumptions!$E$142/(1+I$33)^DCF!$N$6+(DCF!$C$30-DCF!$C$31+DCF!$C$32))/DCF!$C$34)</f>
        <v>877.9695267050934</v>
      </c>
      <c r="J42" s="74">
        <f>Assumptions!$C$12*((SUMPRODUCT(DCF!$E$11:$N$11,1/(1+J$33)^DCF!$E$7:$N$7)+DCF!$N$9*(1+$B42)/(J$33-$B42)/(1+J$33)^DCF!$N$6+(DCF!$C$30-DCF!$C$31+DCF!$C$32))/DCF!$C$34)+(1-Assumptions!$C$12)*((SUMPRODUCT(DCF!$E$11:$N$11,1/(1+J$33)^DCF!$E$7:$N$7)+Forecast!$Q$14*Assumptions!$E$142/(1+J$33)^DCF!$N$6+(DCF!$C$30-DCF!$C$31+DCF!$C$32))/DCF!$C$34)</f>
        <v>838.0280545443818</v>
      </c>
      <c r="K42" s="74">
        <f>Assumptions!$C$12*((SUMPRODUCT(DCF!$E$11:$N$11,1/(1+K$33)^DCF!$E$7:$N$7)+DCF!$N$9*(1+$B42)/(K$33-$B42)/(1+K$33)^DCF!$N$6+(DCF!$C$30-DCF!$C$31+DCF!$C$32))/DCF!$C$34)+(1-Assumptions!$C$12)*((SUMPRODUCT(DCF!$E$11:$N$11,1/(1+K$33)^DCF!$E$7:$N$7)+Forecast!$Q$14*Assumptions!$E$142/(1+K$33)^DCF!$N$6+(DCF!$C$30-DCF!$C$31+DCF!$C$32))/DCF!$C$34)</f>
        <v>801.7221562451728</v>
      </c>
    </row>
  </sheetData>
  <conditionalFormatting sqref="C7:K15">
    <cfRule type="colorScale" priority="1">
      <colorScale>
        <cfvo type="min"/>
        <cfvo type="percentile" val="50"/>
        <cfvo type="max"/>
        <color rgb="00F8696B"/>
        <color rgb="00FFFFFF"/>
        <color rgb="0063BE7B"/>
      </colorScale>
    </cfRule>
    <cfRule type="cellIs" priority="2" operator="greaterThanOrEqual" dxfId="1">
      <formula>Assumptions!$C$16</formula>
    </cfRule>
  </conditionalFormatting>
  <conditionalFormatting sqref="C20:K28">
    <cfRule type="colorScale" priority="3">
      <colorScale>
        <cfvo type="min"/>
        <cfvo type="percentile" val="50"/>
        <cfvo type="max"/>
        <color rgb="00F8696B"/>
        <color rgb="00FFFFFF"/>
        <color rgb="0063BE7B"/>
      </colorScale>
    </cfRule>
    <cfRule type="cellIs" priority="4" operator="greaterThanOrEqual" dxfId="1">
      <formula>Assumptions!$C$16</formula>
    </cfRule>
  </conditionalFormatting>
  <conditionalFormatting sqref="C34:K42">
    <cfRule type="colorScale" priority="5">
      <colorScale>
        <cfvo type="min"/>
        <cfvo type="percentile" val="50"/>
        <cfvo type="max"/>
        <color rgb="00F8696B"/>
        <color rgb="00FFFFFF"/>
        <color rgb="0063BE7B"/>
      </colorScale>
    </cfRule>
    <cfRule type="cellIs" priority="6" operator="greaterThanOrEqual" dxfId="1">
      <formula>Assumptions!$C$16</formula>
    </cfRule>
  </conditionalFormatting>
  <pageMargins left="0.75" right="0.75" top="1" bottom="1" header="0.5" footer="0.5"/>
  <pageSetup orientation="landscape" fitToWidth="1"/>
</worksheet>
</file>

<file path=xl/worksheets/sheet9.xml><?xml version="1.0" encoding="utf-8"?>
<worksheet xmlns="http://schemas.openxmlformats.org/spreadsheetml/2006/main">
  <sheetPr>
    <tabColor rgb="002B4BFF"/>
    <outlinePr summaryBelow="1" summaryRight="1"/>
    <pageSetUpPr fitToPage="1"/>
  </sheetPr>
  <dimension ref="B1:N11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2" customWidth="1" min="2" max="2"/>
    <col width="14" customWidth="1" min="3" max="3"/>
    <col width="14" customWidth="1" min="4" max="4"/>
    <col width="11.5" customWidth="1" min="5" max="5"/>
    <col width="11.5" customWidth="1" min="6" max="6"/>
    <col width="11.5" customWidth="1" min="7" max="7"/>
    <col width="11.5" customWidth="1" min="8" max="8"/>
    <col width="11.5" customWidth="1" min="9" max="9"/>
    <col width="11.5" customWidth="1" min="10" max="10"/>
    <col width="11.5" customWidth="1" min="11" max="11"/>
    <col width="11.5" customWidth="1" min="12" max="12"/>
    <col width="11.5" customWidth="1" min="13" max="13"/>
    <col width="11.5" customWidth="1" min="14" max="14"/>
    <col width="4" customWidth="1" min="15" max="15"/>
  </cols>
  <sheetData>
    <row r="1">
      <c r="B1" s="12" t="inlineStr">
        <is>
          <t>Scenario Analysis</t>
        </is>
      </c>
    </row>
    <row r="2">
      <c r="B2" s="13" t="inlineStr">
        <is>
          <t>Each case is a self-contained 10-year build (units x ASP, fade, terminal) off its own Assumptions rows, so Bear, Base and Bull compute side by side.</t>
        </is>
      </c>
    </row>
    <row r="4">
      <c r="B4" s="25" t="inlineStr">
        <is>
          <t>Summary</t>
        </is>
      </c>
      <c r="C4" s="26" t="inlineStr">
        <is>
          <t>Bear</t>
        </is>
      </c>
      <c r="D4" s="26" t="inlineStr">
        <is>
          <t>Base</t>
        </is>
      </c>
      <c r="E4" s="26" t="inlineStr">
        <is>
          <t>Bull</t>
        </is>
      </c>
    </row>
    <row r="5">
      <c r="B5" s="10" t="inlineStr">
        <is>
          <t>FY30E revenue</t>
        </is>
      </c>
      <c r="C5" s="42">
        <f>I35</f>
        <v>46737.520410232</v>
      </c>
      <c r="D5" s="42">
        <f>I66</f>
        <v>64007.664692160004</v>
      </c>
      <c r="E5" s="42">
        <f>I97</f>
        <v>80934.45389874579</v>
      </c>
    </row>
    <row r="6">
      <c r="B6" s="10" t="inlineStr">
        <is>
          <t>Revenue CAGR FY25A-FY30E</t>
        </is>
      </c>
      <c r="C6" s="33">
        <f>(I35/Historical!$H$6)^(1/5)-1</f>
        <v>0.07426267215718907</v>
      </c>
      <c r="D6" s="33">
        <f>(I66/Historical!$H$6)^(1/5)-1</f>
        <v>0.14399400423077724</v>
      </c>
      <c r="E6" s="33">
        <f>(I97/Historical!$H$6)^(1/5)-1</f>
        <v>0.19895819355593858</v>
      </c>
    </row>
    <row r="7">
      <c r="B7" s="10" t="inlineStr">
        <is>
          <t>Average EBITDA margin FY26-30</t>
        </is>
      </c>
      <c r="C7" s="33">
        <f>AVERAGE(Assumptions!$E$109:$I$109)</f>
        <v>0.364</v>
      </c>
      <c r="D7" s="33">
        <f>AVERAGE(Assumptions!$E$110:$I$110)</f>
        <v>0.42299999999999993</v>
      </c>
      <c r="E7" s="33">
        <f>AVERAGE(Assumptions!$E$111:$I$111)</f>
        <v>0.445</v>
      </c>
    </row>
    <row r="8">
      <c r="B8" s="10" t="inlineStr">
        <is>
          <t>Average CapEx % revenue</t>
        </is>
      </c>
      <c r="C8" s="33">
        <f>AVERAGE(Assumptions!$E$119:$I$119)</f>
        <v>0.062</v>
      </c>
      <c r="D8" s="33">
        <f>AVERAGE(Assumptions!$E$120:$I$120)</f>
        <v>0.05500000000000001</v>
      </c>
      <c r="E8" s="33">
        <f>AVERAGE(Assumptions!$E$121:$I$121)</f>
        <v>0.05</v>
      </c>
    </row>
    <row r="9">
      <c r="B9" s="10" t="inlineStr">
        <is>
          <t>WACC</t>
        </is>
      </c>
      <c r="C9" s="59">
        <f>C49</f>
        <v>0.09877981262700603</v>
      </c>
      <c r="D9" s="59">
        <f>C80</f>
        <v>0.09377981262700602</v>
      </c>
      <c r="E9" s="59">
        <f>C111</f>
        <v>0.08877981262700602</v>
      </c>
    </row>
    <row r="10">
      <c r="B10" s="10" t="inlineStr">
        <is>
          <t>Terminal growth</t>
        </is>
      </c>
      <c r="C10" s="59">
        <f>C50</f>
        <v>0.02</v>
      </c>
      <c r="D10" s="59">
        <f>C81</f>
        <v>0.025</v>
      </c>
      <c r="E10" s="59">
        <f>C112</f>
        <v>0.03</v>
      </c>
    </row>
    <row r="11">
      <c r="B11" s="10" t="inlineStr">
        <is>
          <t>Exit EV/EBITDA (FY35)</t>
        </is>
      </c>
      <c r="C11" s="70">
        <f>C51</f>
        <v>15.0</v>
      </c>
      <c r="D11" s="70">
        <f>C82</f>
        <v>20.0</v>
      </c>
      <c r="E11" s="70">
        <f>C113</f>
        <v>25.0</v>
      </c>
    </row>
    <row r="12">
      <c r="B12" s="10" t="inlineStr">
        <is>
          <t>Enterprise value (Gordon)</t>
        </is>
      </c>
      <c r="C12" s="42">
        <f>C52+C53</f>
        <v>150626.90873235656</v>
      </c>
      <c r="D12" s="42">
        <f>C83+C84</f>
        <v>285847.4521784131</v>
      </c>
      <c r="E12" s="42">
        <f>C114+C115</f>
        <v>472732.0870758259</v>
      </c>
    </row>
    <row r="13">
      <c r="B13" s="10" t="inlineStr">
        <is>
          <t>Enterprise value (Exit)</t>
        </is>
      </c>
      <c r="C13" s="42">
        <f>C52+C54</f>
        <v>205183.82006675523</v>
      </c>
      <c r="D13" s="42">
        <f>C83+C85</f>
        <v>421758.8101735148</v>
      </c>
      <c r="E13" s="42">
        <f>C114+C116</f>
        <v>736227.9450108504</v>
      </c>
    </row>
    <row r="14">
      <c r="B14" s="10" t="inlineStr">
        <is>
          <t>Enterprise value (blended)</t>
        </is>
      </c>
      <c r="C14" s="42">
        <f>Assumptions!$C$12*C12+(1-Assumptions!$C$12)*C13</f>
        <v>177905.3643995559</v>
      </c>
      <c r="D14" s="42">
        <f>Assumptions!$C$12*D12+(1-Assumptions!$C$12)*D13</f>
        <v>353803.13117596396</v>
      </c>
      <c r="E14" s="42">
        <f>Assumptions!$C$12*E12+(1-Assumptions!$C$12)*E13</f>
        <v>604480.0160433382</v>
      </c>
    </row>
    <row r="15">
      <c r="B15" s="10" t="inlineStr">
        <is>
          <t>Equity value (blended)</t>
        </is>
      </c>
      <c r="C15" s="42">
        <f>C14+(DCF!$C$30-DCF!$C$31+DCF!$C$32)</f>
        <v>184099.8643995559</v>
      </c>
      <c r="D15" s="42">
        <f>D14+(DCF!$C$30-DCF!$C$31+DCF!$C$32)</f>
        <v>359997.63117596396</v>
      </c>
      <c r="E15" s="42">
        <f>E14+(DCF!$C$30-DCF!$C$31+DCF!$C$32)</f>
        <v>610674.5160433382</v>
      </c>
    </row>
    <row r="16">
      <c r="B16" s="3" t="inlineStr">
        <is>
          <t>Implied price, Gordon (EUR)</t>
        </is>
      </c>
      <c r="C16" s="77">
        <f>(C12+(DCF!$C$30-DCF!$C$31+DCF!$C$32))/DCF!$C$34</f>
        <v>407.4341614246728</v>
      </c>
      <c r="D16" s="77">
        <f>(D12+(DCF!$C$30-DCF!$C$31+DCF!$C$32))/DCF!$C$34</f>
        <v>758.74760243807</v>
      </c>
      <c r="E16" s="77">
        <f>(E12+(DCF!$C$30-DCF!$C$31+DCF!$C$32))/DCF!$C$34</f>
        <v>1244.2883530159156</v>
      </c>
    </row>
    <row r="17">
      <c r="B17" s="3" t="inlineStr">
        <is>
          <t>Implied price, Exit (EUR)</t>
        </is>
      </c>
      <c r="C17" s="77">
        <f>(C13+(DCF!$C$30-DCF!$C$31+DCF!$C$32))/DCF!$C$34</f>
        <v>549.1772410152124</v>
      </c>
      <c r="D17" s="77">
        <f>(D13+(DCF!$C$30-DCF!$C$31+DCF!$C$32))/DCF!$C$34</f>
        <v>1111.855833134619</v>
      </c>
      <c r="E17" s="77">
        <f>(E13+(DCF!$C$30-DCF!$C$31+DCF!$C$32))/DCF!$C$34</f>
        <v>1928.870992493766</v>
      </c>
    </row>
    <row r="18">
      <c r="B18" s="3" t="inlineStr">
        <is>
          <t>Implied price, blended (EUR)</t>
        </is>
      </c>
      <c r="C18" s="78">
        <f>C15/DCF!$C$34</f>
        <v>478.3057012199426</v>
      </c>
      <c r="D18" s="78">
        <f>D15/DCF!$C$34</f>
        <v>935.3017177863445</v>
      </c>
      <c r="E18" s="78">
        <f>E15/DCF!$C$34</f>
        <v>1586.5796727548409</v>
      </c>
    </row>
    <row r="19">
      <c r="B19" s="3" t="inlineStr">
        <is>
          <t>Upside / (downside), blended</t>
        </is>
      </c>
      <c r="C19" s="46">
        <f>C18/Assumptions!$C$16-1</f>
        <v>-0.7031738232469017</v>
      </c>
      <c r="D19" s="46">
        <f>D18/Assumptions!$C$16-1</f>
        <v>-0.41957197605414887</v>
      </c>
      <c r="E19" s="46">
        <f>E18/Assumptions!$C$16-1</f>
        <v>-0.015402958449273418</v>
      </c>
    </row>
    <row r="20">
      <c r="B20" s="10" t="inlineStr">
        <is>
          <t>Current share price (EUR)</t>
        </is>
      </c>
      <c r="C20" s="63">
        <f>Assumptions!$C$16</f>
        <v>1611.4</v>
      </c>
    </row>
    <row r="22">
      <c r="B22" s="14" t="inlineStr">
        <is>
          <t>What drives each case</t>
        </is>
      </c>
      <c r="C22" s="15" t="n"/>
      <c r="D22" s="15" t="n"/>
      <c r="E22" s="15" t="n"/>
      <c r="F22" s="15" t="n"/>
      <c r="G22" s="15" t="n"/>
      <c r="H22" s="15" t="n"/>
      <c r="I22" s="15" t="n"/>
      <c r="J22" s="15" t="n"/>
      <c r="K22" s="15" t="n"/>
      <c r="L22" s="15" t="n"/>
      <c r="M22" s="15" t="n"/>
      <c r="N22" s="15" t="n"/>
    </row>
    <row r="23">
      <c r="B23" s="3" t="inlineStr">
        <is>
          <t>Bear</t>
        </is>
      </c>
      <c r="C23" s="11" t="inlineStr">
        <is>
          <t>AI capex digestion in 2027-28 coincides with tighter China export controls (DUV immersion and servicing). Customers push out EUV orders, the down-payment float shrinks and margins compress as fixed R&amp;D is held.</t>
        </is>
      </c>
    </row>
    <row r="24">
      <c r="B24" s="3" t="inlineStr">
        <is>
          <t>Base</t>
        </is>
      </c>
      <c r="C24" s="11" t="inlineStr">
        <is>
          <t>2026 guidance is delivered, the backlog converts, and EUV/High-NA adoption in logic and DRAM lift revenue to about EUR 64bn by 2030 (88 low-NA and 22 High-NA EUV systems) with margins at the 2030 target band.</t>
        </is>
      </c>
    </row>
    <row r="25">
      <c r="B25" s="3" t="inlineStr">
        <is>
          <t>Bull</t>
        </is>
      </c>
      <c r="C25" s="11" t="inlineStr">
        <is>
          <t>A sustained AI-driven leading-edge build-out plus faster High-NA adoption push EUV shipments to 110 low-NA and 32 High-NA systems and revenue to about EUR 81bn, with gross margin at 60% and services scaling on the installed base.</t>
        </is>
      </c>
    </row>
    <row r="27">
      <c r="B27" s="14" t="inlineStr">
        <is>
          <t>Bear case build</t>
        </is>
      </c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  <c r="L27" s="15" t="n"/>
      <c r="M27" s="15" t="n"/>
      <c r="N27" s="15" t="n"/>
    </row>
    <row r="28">
      <c r="B28" s="25" t="inlineStr">
        <is>
          <t>EUR m</t>
        </is>
      </c>
      <c r="C28" s="26" t="n"/>
      <c r="D28" s="26" t="n"/>
      <c r="E28" s="26" t="inlineStr">
        <is>
          <t>FY26E</t>
        </is>
      </c>
      <c r="F28" s="26" t="inlineStr">
        <is>
          <t>FY27E</t>
        </is>
      </c>
      <c r="G28" s="26" t="inlineStr">
        <is>
          <t>FY28E</t>
        </is>
      </c>
      <c r="H28" s="26" t="inlineStr">
        <is>
          <t>FY29E</t>
        </is>
      </c>
      <c r="I28" s="26" t="inlineStr">
        <is>
          <t>FY30E</t>
        </is>
      </c>
      <c r="J28" s="53" t="inlineStr">
        <is>
          <t>FY31E</t>
        </is>
      </c>
      <c r="K28" s="53" t="inlineStr">
        <is>
          <t>FY32E</t>
        </is>
      </c>
      <c r="L28" s="53" t="inlineStr">
        <is>
          <t>FY33E</t>
        </is>
      </c>
      <c r="M28" s="53" t="inlineStr">
        <is>
          <t>FY34E</t>
        </is>
      </c>
      <c r="N28" s="53" t="inlineStr">
        <is>
          <t>FY35E</t>
        </is>
      </c>
    </row>
    <row r="29">
      <c r="B29" s="10" t="inlineStr">
        <is>
          <t>EUV low-NA revenue (units x ASP)</t>
        </is>
      </c>
      <c r="E29" s="42">
        <f>Assumptions!$E$58*Assumptions!$E$63</f>
        <v>16128.0</v>
      </c>
      <c r="F29" s="42">
        <f>Assumptions!$F$58*Assumptions!$F$63</f>
        <v>16500.0</v>
      </c>
      <c r="G29" s="42">
        <f>Assumptions!$G$58*Assumptions!$G$63</f>
        <v>15120.0</v>
      </c>
      <c r="H29" s="42">
        <f>Assumptions!$H$58*Assumptions!$H$63</f>
        <v>16830.0</v>
      </c>
      <c r="I29" s="42">
        <f>Assumptions!$I$58*Assumptions!$I$63</f>
        <v>18060.0</v>
      </c>
    </row>
    <row r="30">
      <c r="B30" s="10" t="inlineStr">
        <is>
          <t>EUV High-NA revenue</t>
        </is>
      </c>
      <c r="E30" s="42">
        <f>Assumptions!$E$68*Assumptions!$E$73</f>
        <v>2760.0</v>
      </c>
      <c r="F30" s="42">
        <f>Assumptions!$F$68*Assumptions!$F$73</f>
        <v>3150.0</v>
      </c>
      <c r="G30" s="42">
        <f>Assumptions!$G$68*Assumptions!$G$73</f>
        <v>3550.0</v>
      </c>
      <c r="H30" s="42">
        <f>Assumptions!$H$68*Assumptions!$H$73</f>
        <v>4320.0</v>
      </c>
      <c r="I30" s="42">
        <f>Assumptions!$I$68*Assumptions!$I$73</f>
        <v>5110.0</v>
      </c>
    </row>
    <row r="31">
      <c r="B31" s="10" t="inlineStr">
        <is>
          <t>DUV immersion revenue</t>
        </is>
      </c>
      <c r="E31" s="42">
        <f>Assumptions!$E$78*Assumptions!$E$83</f>
        <v>10920.0</v>
      </c>
      <c r="F31" s="42">
        <f>Assumptions!$F$78*Assumptions!$F$83</f>
        <v>9240.0</v>
      </c>
      <c r="G31" s="42">
        <f>Assumptions!$G$78*Assumptions!$G$83</f>
        <v>7980.0</v>
      </c>
      <c r="H31" s="42">
        <f>Assumptions!$H$78*Assumptions!$H$83</f>
        <v>8500.0</v>
      </c>
      <c r="I31" s="42">
        <f>Assumptions!$I$78*Assumptions!$I$83</f>
        <v>9030.0</v>
      </c>
    </row>
    <row r="32">
      <c r="B32" s="10" t="inlineStr">
        <is>
          <t>Other DUV revenue</t>
        </is>
      </c>
      <c r="E32" s="42">
        <f>Assumptions!$C$47*(1+Assumptions!$E$88)</f>
        <v>1648.82</v>
      </c>
      <c r="F32" s="42">
        <f>E32*(1+Assumptions!$F$88)</f>
        <v>1483.9379999999999</v>
      </c>
      <c r="G32" s="42">
        <f>F32*(1+Assumptions!$G$88)</f>
        <v>1335.5441999999998</v>
      </c>
      <c r="H32" s="42">
        <f>G32*(1+Assumptions!$H$88)</f>
        <v>1335.5441999999998</v>
      </c>
      <c r="I32" s="42">
        <f>H32*(1+Assumptions!$I$88)</f>
        <v>1335.5441999999998</v>
      </c>
    </row>
    <row r="33">
      <c r="B33" s="10" t="inlineStr">
        <is>
          <t>Metrology &amp; inspection revenue</t>
        </is>
      </c>
      <c r="E33" s="42">
        <f>Assumptions!$C$48*(1+Assumptions!$E$93)</f>
        <v>907.0600000000001</v>
      </c>
      <c r="F33" s="42">
        <f>E33*(1+Assumptions!$F$93)</f>
        <v>925.2012000000001</v>
      </c>
      <c r="G33" s="42">
        <f>F33*(1+Assumptions!$G$93)</f>
        <v>925.2012000000001</v>
      </c>
      <c r="H33" s="42">
        <f>G33*(1+Assumptions!$H$93)</f>
        <v>952.9572360000001</v>
      </c>
      <c r="I33" s="42">
        <f>H33*(1+Assumptions!$I$93)</f>
        <v>981.5459530800001</v>
      </c>
    </row>
    <row r="34">
      <c r="B34" s="10" t="inlineStr">
        <is>
          <t>Installed base revenue</t>
        </is>
      </c>
      <c r="E34" s="42">
        <f>Assumptions!$C$49*(1+Assumptions!$E$98)</f>
        <v>10650.9</v>
      </c>
      <c r="F34" s="42">
        <f>E34*(1+Assumptions!$F$98)</f>
        <v>11076.936</v>
      </c>
      <c r="G34" s="42">
        <f>F34*(1+Assumptions!$G$98)</f>
        <v>11298.47472</v>
      </c>
      <c r="H34" s="42">
        <f>G34*(1+Assumptions!$H$98)</f>
        <v>11750.4137088</v>
      </c>
      <c r="I34" s="42">
        <f>H34*(1+Assumptions!$I$98)</f>
        <v>12220.430257152002</v>
      </c>
    </row>
    <row r="35">
      <c r="B35" s="3" t="inlineStr">
        <is>
          <t>Revenue</t>
        </is>
      </c>
      <c r="E35" s="43">
        <f>SUM(E29:E34)</f>
        <v>43014.78</v>
      </c>
      <c r="F35" s="43">
        <f>SUM(F29:F34)</f>
        <v>42376.0752</v>
      </c>
      <c r="G35" s="43">
        <f>SUM(G29:G34)</f>
        <v>40209.22012</v>
      </c>
      <c r="H35" s="43">
        <f>SUM(H29:H34)</f>
        <v>43688.9151448</v>
      </c>
      <c r="I35" s="43">
        <f>SUM(I29:I34)</f>
        <v>46737.520410232</v>
      </c>
      <c r="J35" s="43">
        <f>I35*(1+J36)</f>
        <v>49533.53964076119</v>
      </c>
      <c r="K35" s="43">
        <f>J35*(1+K36)</f>
        <v>52003.67327494288</v>
      </c>
      <c r="L35" s="43">
        <f>K35*(1+L36)</f>
        <v>54079.24043868908</v>
      </c>
      <c r="M35" s="43">
        <f>L35*(1+M36)</f>
        <v>55699.23637454038</v>
      </c>
      <c r="N35" s="43">
        <f>M35*(1+N36)</f>
        <v>56813.22110203119</v>
      </c>
    </row>
    <row r="36">
      <c r="B36" s="10" t="inlineStr">
        <is>
          <t>Growth %</t>
        </is>
      </c>
      <c r="E36" s="33">
        <f>E35/Historical!$H$6-1</f>
        <v>0.3167534506984049</v>
      </c>
      <c r="F36" s="33">
        <f>F35/E35-1</f>
        <v>-0.014848496261052557</v>
      </c>
      <c r="G36" s="33">
        <f>G35/F35-1</f>
        <v>-0.05113392568266917</v>
      </c>
      <c r="H36" s="33">
        <f>H35/G35-1</f>
        <v>0.08653972930624443</v>
      </c>
      <c r="I36" s="33">
        <f>I35/H35-1</f>
        <v>0.069779834434613</v>
      </c>
      <c r="J36" s="33">
        <f>$I36+($C$50-$I36)*(COLUMN()-COLUMN($I36))/Assumptions!$C$13</f>
        <v>0.059823867547690396</v>
      </c>
      <c r="K36" s="33">
        <f>$I36+($C$50-$I36)*(COLUMN()-COLUMN($I36))/Assumptions!$C$13</f>
        <v>0.0498679006607678</v>
      </c>
      <c r="L36" s="33">
        <f>$I36+($C$50-$I36)*(COLUMN()-COLUMN($I36))/Assumptions!$C$13</f>
        <v>0.0399119337738452</v>
      </c>
      <c r="M36" s="33">
        <f>$I36+($C$50-$I36)*(COLUMN()-COLUMN($I36))/Assumptions!$C$13</f>
        <v>0.029955966886922605</v>
      </c>
      <c r="N36" s="33">
        <f>$I36+($C$50-$I36)*(COLUMN()-COLUMN($I36))/Assumptions!$C$13</f>
        <v>0.020000000000000004</v>
      </c>
    </row>
    <row r="37">
      <c r="B37" s="10" t="inlineStr">
        <is>
          <t>EBITDA</t>
        </is>
      </c>
      <c r="E37" s="42">
        <f>E35*Assumptions!$E$109</f>
        <v>16990.8381</v>
      </c>
      <c r="F37" s="42">
        <f>F35*Assumptions!$F$109</f>
        <v>15255.387072</v>
      </c>
      <c r="G37" s="42">
        <f>G35*Assumptions!$G$109</f>
        <v>13872.180941399998</v>
      </c>
      <c r="H37" s="42">
        <f>H35*Assumptions!$H$109</f>
        <v>15509.564876403998</v>
      </c>
      <c r="I37" s="42">
        <f>I35*Assumptions!$I$109</f>
        <v>17059.19494973468</v>
      </c>
      <c r="J37" s="42">
        <f>J35*Assumptions!$I$109</f>
        <v>18079.741968877835</v>
      </c>
      <c r="K37" s="42">
        <f>K35*Assumptions!$I$109</f>
        <v>18981.34074535415</v>
      </c>
      <c r="L37" s="42">
        <f>L35*Assumptions!$I$109</f>
        <v>19738.922760121513</v>
      </c>
      <c r="M37" s="42">
        <f>M35*Assumptions!$I$109</f>
        <v>20330.221276707238</v>
      </c>
      <c r="N37" s="42">
        <f>N35*Assumptions!$I$109</f>
        <v>20736.82570224138</v>
      </c>
    </row>
    <row r="38">
      <c r="B38" s="10" t="inlineStr">
        <is>
          <t>D&amp;A</t>
        </is>
      </c>
      <c r="E38" s="42">
        <f>E35*Assumptions!$E$114</f>
        <v>1204.41384</v>
      </c>
      <c r="F38" s="42">
        <f>F35*Assumptions!$F$114</f>
        <v>1271.282256</v>
      </c>
      <c r="G38" s="42">
        <f>G35*Assumptions!$G$114</f>
        <v>1206.2766035999998</v>
      </c>
      <c r="H38" s="42">
        <f>H35*Assumptions!$H$114</f>
        <v>1310.667454344</v>
      </c>
      <c r="I38" s="42">
        <f>I35*Assumptions!$I$114</f>
        <v>1402.12561230696</v>
      </c>
      <c r="J38" s="42">
        <f>J35*Assumptions!$I$114</f>
        <v>1486.0061892228357</v>
      </c>
      <c r="K38" s="42">
        <f>K35*Assumptions!$I$114</f>
        <v>1560.1101982482862</v>
      </c>
      <c r="L38" s="42">
        <f>L35*Assumptions!$I$114</f>
        <v>1622.3772131606722</v>
      </c>
      <c r="M38" s="42">
        <f>M35*Assumptions!$I$114</f>
        <v>1670.9770912362112</v>
      </c>
      <c r="N38" s="42">
        <f>N35*Assumptions!$I$114</f>
        <v>1704.3966330609355</v>
      </c>
    </row>
    <row r="39">
      <c r="B39" s="10" t="inlineStr">
        <is>
          <t>EBIT</t>
        </is>
      </c>
      <c r="E39" s="42">
        <f>E37-E38</f>
        <v>15786.424260000002</v>
      </c>
      <c r="F39" s="42">
        <f>F37-F38</f>
        <v>13984.104816</v>
      </c>
      <c r="G39" s="42">
        <f>G37-G38</f>
        <v>12665.904337799999</v>
      </c>
      <c r="H39" s="42">
        <f>H37-H38</f>
        <v>14198.897422059998</v>
      </c>
      <c r="I39" s="42">
        <f>I37-I38</f>
        <v>15657.06933742772</v>
      </c>
      <c r="J39" s="42">
        <f>J37-J38</f>
        <v>16593.735779655</v>
      </c>
      <c r="K39" s="42">
        <f>K37-K38</f>
        <v>17421.230547105864</v>
      </c>
      <c r="L39" s="42">
        <f>L37-L38</f>
        <v>18116.545546960842</v>
      </c>
      <c r="M39" s="42">
        <f>M37-M38</f>
        <v>18659.244185471027</v>
      </c>
      <c r="N39" s="42">
        <f>N37-N38</f>
        <v>19032.429069180445</v>
      </c>
    </row>
    <row r="40">
      <c r="B40" s="10" t="inlineStr">
        <is>
          <t>NOPAT</t>
        </is>
      </c>
      <c r="E40" s="42">
        <f>E39*(1-Assumptions!$E$129)</f>
        <v>12944.867893200002</v>
      </c>
      <c r="F40" s="42">
        <f>F39*(1-Assumptions!$F$129)</f>
        <v>11466.96594912</v>
      </c>
      <c r="G40" s="42">
        <f>G39*(1-Assumptions!$G$129)</f>
        <v>10386.041556996</v>
      </c>
      <c r="H40" s="42">
        <f>H39*(1-Assumptions!$H$129)</f>
        <v>11643.095886089199</v>
      </c>
      <c r="I40" s="42">
        <f>I39*(1-Assumptions!$I$129)</f>
        <v>12838.796856690731</v>
      </c>
      <c r="J40" s="42">
        <f>J39*(1-Assumptions!$I$129)</f>
        <v>13606.8633393171</v>
      </c>
      <c r="K40" s="42">
        <f>K39*(1-Assumptions!$I$129)</f>
        <v>14285.40904862681</v>
      </c>
      <c r="L40" s="42">
        <f>L39*(1-Assumptions!$I$129)</f>
        <v>14855.567348507891</v>
      </c>
      <c r="M40" s="42">
        <f>M39*(1-Assumptions!$I$129)</f>
        <v>15300.580232086244</v>
      </c>
      <c r="N40" s="42">
        <f>N39*(1-Assumptions!$I$129)</f>
        <v>15606.591836727966</v>
      </c>
    </row>
    <row r="41">
      <c r="B41" s="10" t="inlineStr">
        <is>
          <t>CapEx</t>
        </is>
      </c>
      <c r="E41" s="42">
        <f>E35*Assumptions!$E$119</f>
        <v>2580.8867999999998</v>
      </c>
      <c r="F41" s="42">
        <f>F35*Assumptions!$F$119</f>
        <v>2754.444888</v>
      </c>
      <c r="G41" s="42">
        <f>G35*Assumptions!$G$119</f>
        <v>2613.5993078</v>
      </c>
      <c r="H41" s="42">
        <f>H35*Assumptions!$H$119</f>
        <v>2621.334908688</v>
      </c>
      <c r="I41" s="42">
        <f>I35*Assumptions!$I$119</f>
        <v>2804.25122461392</v>
      </c>
      <c r="J41" s="42">
        <f>J35*Assumptions!$I$119</f>
        <v>2972.0123784456714</v>
      </c>
      <c r="K41" s="42">
        <f>K35*Assumptions!$I$119</f>
        <v>3120.2203964965724</v>
      </c>
      <c r="L41" s="42">
        <f>L35*Assumptions!$I$119</f>
        <v>3244.7544263213445</v>
      </c>
      <c r="M41" s="42">
        <f>M35*Assumptions!$I$119</f>
        <v>3341.9541824724224</v>
      </c>
      <c r="N41" s="42">
        <f>N35*Assumptions!$I$119</f>
        <v>3408.793266121871</v>
      </c>
    </row>
    <row r="42">
      <c r="B42" s="10" t="inlineStr">
        <is>
          <t>NWC</t>
        </is>
      </c>
      <c r="E42" s="42">
        <f>E35*Assumptions!$E$124</f>
        <v>-3441.1824</v>
      </c>
      <c r="F42" s="42">
        <f>F35*Assumptions!$F$124</f>
        <v>-2542.564512</v>
      </c>
      <c r="G42" s="42">
        <f>G35*Assumptions!$G$124</f>
        <v>-2412.5532071999996</v>
      </c>
      <c r="H42" s="42">
        <f>H35*Assumptions!$H$124</f>
        <v>-2621.334908688</v>
      </c>
      <c r="I42" s="42">
        <f>I35*Assumptions!$I$124</f>
        <v>-2804.25122461392</v>
      </c>
      <c r="J42" s="42">
        <f>J35*Assumptions!$I$124</f>
        <v>-2972.0123784456714</v>
      </c>
      <c r="K42" s="42">
        <f>K35*Assumptions!$I$124</f>
        <v>-3120.2203964965724</v>
      </c>
      <c r="L42" s="42">
        <f>L35*Assumptions!$I$124</f>
        <v>-3244.7544263213445</v>
      </c>
      <c r="M42" s="42">
        <f>M35*Assumptions!$I$124</f>
        <v>-3341.9541824724224</v>
      </c>
      <c r="N42" s="42">
        <f>N35*Assumptions!$I$124</f>
        <v>-3408.793266121871</v>
      </c>
    </row>
    <row r="43">
      <c r="B43" s="10" t="inlineStr">
        <is>
          <t>Change in NWC</t>
        </is>
      </c>
      <c r="E43" s="42">
        <f>E42-Historical!$H$43</f>
        <v>5479.017600000001</v>
      </c>
      <c r="F43" s="42">
        <f>F42-E42</f>
        <v>898.6178880000002</v>
      </c>
      <c r="G43" s="42">
        <f>G42-F42</f>
        <v>130.0113048000003</v>
      </c>
      <c r="H43" s="42">
        <f>H42-G42</f>
        <v>-208.78170148800018</v>
      </c>
      <c r="I43" s="42">
        <f>I42-H42</f>
        <v>-182.91631592592012</v>
      </c>
      <c r="J43" s="42">
        <f>J42-I42</f>
        <v>-167.76115383175147</v>
      </c>
      <c r="K43" s="42">
        <f>K42-J42</f>
        <v>-148.20801805090105</v>
      </c>
      <c r="L43" s="42">
        <f>L42-K42</f>
        <v>-124.534029824772</v>
      </c>
      <c r="M43" s="42">
        <f>M42-L42</f>
        <v>-97.19975615107796</v>
      </c>
      <c r="N43" s="42">
        <f>N42-M42</f>
        <v>-66.83908364944864</v>
      </c>
    </row>
    <row r="44">
      <c r="B44" s="3" t="inlineStr">
        <is>
          <t>Unlevered FCF</t>
        </is>
      </c>
      <c r="E44" s="43">
        <f>E40+E38-E41-E43</f>
        <v>6089.3773332</v>
      </c>
      <c r="F44" s="43">
        <f>F40+F38-F41-F43</f>
        <v>9085.18542912</v>
      </c>
      <c r="G44" s="43">
        <f>G40+G38-G41-G43</f>
        <v>8848.707547995999</v>
      </c>
      <c r="H44" s="43">
        <f>H40+H38-H41-H43</f>
        <v>10541.2101332332</v>
      </c>
      <c r="I44" s="43">
        <f>I40+I38-I41-I43</f>
        <v>11619.587560309692</v>
      </c>
      <c r="J44" s="43">
        <f>J40+J38-J41-J43</f>
        <v>12288.618303926014</v>
      </c>
      <c r="K44" s="43">
        <f>K40+K38-K41-K43</f>
        <v>12873.506868429427</v>
      </c>
      <c r="L44" s="43">
        <f>L40+L38-L41-L43</f>
        <v>13357.72416517199</v>
      </c>
      <c r="M44" s="43">
        <f>M40+M38-M41-M43</f>
        <v>13726.802897001113</v>
      </c>
      <c r="N44" s="43">
        <f>N40+N38-N41-N43</f>
        <v>13969.034287316481</v>
      </c>
    </row>
    <row r="45">
      <c r="B45" s="10" t="inlineStr">
        <is>
          <t>Cash flow to discount (FY26 net of H1 actual)</t>
        </is>
      </c>
      <c r="E45" s="42">
        <f>E44-Assumptions!$C$21</f>
        <v>7380.2773332</v>
      </c>
      <c r="F45" s="42">
        <f>F44</f>
        <v>9085.18542912</v>
      </c>
      <c r="G45" s="42">
        <f>G44</f>
        <v>8848.707547995999</v>
      </c>
      <c r="H45" s="42">
        <f>H44</f>
        <v>10541.2101332332</v>
      </c>
      <c r="I45" s="42">
        <f>I44</f>
        <v>11619.587560309692</v>
      </c>
      <c r="J45" s="42">
        <f>J44</f>
        <v>12288.618303926014</v>
      </c>
      <c r="K45" s="42">
        <f>K44</f>
        <v>12873.506868429427</v>
      </c>
      <c r="L45" s="42">
        <f>L44</f>
        <v>13357.72416517199</v>
      </c>
      <c r="M45" s="42">
        <f>M44</f>
        <v>13726.802897001113</v>
      </c>
      <c r="N45" s="42">
        <f>N44</f>
        <v>13969.034287316481</v>
      </c>
    </row>
    <row r="46">
      <c r="B46" s="10" t="inlineStr">
        <is>
          <t>Discount factor</t>
        </is>
      </c>
      <c r="E46" s="67">
        <f>1/(1+$C$49)^DCF!E$7</f>
        <v>0.9890914065584024</v>
      </c>
      <c r="F46" s="67">
        <f>1/(1+$C$49)^DCF!F$7</f>
        <v>0.9332919532548954</v>
      </c>
      <c r="G46" s="67">
        <f>1/(1+$C$49)^DCF!G$7</f>
        <v>0.8493894250054924</v>
      </c>
      <c r="H46" s="67">
        <f>1/(1+$C$49)^DCF!H$7</f>
        <v>0.773029696436394</v>
      </c>
      <c r="I46" s="67">
        <f>1/(1+$C$49)^DCF!I$7</f>
        <v>0.7035346732374015</v>
      </c>
      <c r="J46" s="67">
        <f>1/(1+$C$49)^DCF!J$7</f>
        <v>0.6402872214728473</v>
      </c>
      <c r="K46" s="67">
        <f>1/(1+$C$49)^DCF!K$7</f>
        <v>0.5827256872712498</v>
      </c>
      <c r="L46" s="67">
        <f>1/(1+$C$49)^DCF!L$7</f>
        <v>0.5303389091924126</v>
      </c>
      <c r="M46" s="67">
        <f>1/(1+$C$49)^DCF!M$7</f>
        <v>0.48266167898048423</v>
      </c>
      <c r="N46" s="67">
        <f>1/(1+$C$49)^DCF!N$7</f>
        <v>0.4392706103932849</v>
      </c>
    </row>
    <row r="47">
      <c r="B47" s="3" t="inlineStr">
        <is>
          <t>PV of cash flow</t>
        </is>
      </c>
      <c r="E47" s="43">
        <f>E45*E46</f>
        <v>7299.768888285883</v>
      </c>
      <c r="F47" s="43">
        <f>F45*F46</f>
        <v>8479.13045482632</v>
      </c>
      <c r="G47" s="43">
        <f>G45*G46</f>
        <v>7515.998616234082</v>
      </c>
      <c r="H47" s="43">
        <f>H45*H46</f>
        <v>8148.668469365501</v>
      </c>
      <c r="I47" s="43">
        <f>I45*I46</f>
        <v>8174.782737395854</v>
      </c>
      <c r="J47" s="43">
        <f>J45*J46</f>
        <v>7868.245269561161</v>
      </c>
      <c r="K47" s="43">
        <f>K45*K46</f>
        <v>7501.723137496693</v>
      </c>
      <c r="L47" s="43">
        <f>L45*L46</f>
        <v>7084.120863050443</v>
      </c>
      <c r="M47" s="43">
        <f>M45*M46</f>
        <v>6625.401733300732</v>
      </c>
      <c r="N47" s="43">
        <f>N45*N46</f>
        <v>6136.186217994236</v>
      </c>
    </row>
    <row r="49">
      <c r="B49" s="10" t="inlineStr">
        <is>
          <t>WACC</t>
        </is>
      </c>
      <c r="C49" s="59">
        <f>WACC!$C$33+Assumptions!$E$144</f>
        <v>0.09877981262700603</v>
      </c>
    </row>
    <row r="50">
      <c r="B50" s="10" t="inlineStr">
        <is>
          <t>Terminal growth</t>
        </is>
      </c>
      <c r="C50" s="57">
        <f>Assumptions!$E$134</f>
        <v>0.02</v>
      </c>
    </row>
    <row r="51">
      <c r="B51" s="10" t="inlineStr">
        <is>
          <t>Exit multiple</t>
        </is>
      </c>
      <c r="C51" s="68">
        <f>Assumptions!$E$139</f>
        <v>15.0</v>
      </c>
    </row>
    <row r="52">
      <c r="B52" s="10" t="inlineStr">
        <is>
          <t>Sum PV of cash flows</t>
        </is>
      </c>
      <c r="C52" s="42">
        <f>SUM(E47:N47)</f>
        <v>74834.02638751091</v>
      </c>
    </row>
    <row r="53">
      <c r="B53" s="10" t="inlineStr">
        <is>
          <t>PV terminal value (Gordon)</t>
        </is>
      </c>
      <c r="C53" s="42">
        <f>N44*(1+C50)/(C49-C50)/(1+C49)^DCF!$N$6</f>
        <v>75792.88234484565</v>
      </c>
    </row>
    <row r="54">
      <c r="B54" s="10" t="inlineStr">
        <is>
          <t>PV terminal value (Exit)</t>
        </is>
      </c>
      <c r="C54" s="42">
        <f>N37*C51/(1+C49)^DCF!$N$6</f>
        <v>130349.7936792443</v>
      </c>
    </row>
    <row r="58">
      <c r="B58" s="14" t="inlineStr">
        <is>
          <t>Base case build</t>
        </is>
      </c>
      <c r="C58" s="15" t="n"/>
      <c r="D58" s="15" t="n"/>
      <c r="E58" s="15" t="n"/>
      <c r="F58" s="15" t="n"/>
      <c r="G58" s="15" t="n"/>
      <c r="H58" s="15" t="n"/>
      <c r="I58" s="15" t="n"/>
      <c r="J58" s="15" t="n"/>
      <c r="K58" s="15" t="n"/>
      <c r="L58" s="15" t="n"/>
      <c r="M58" s="15" t="n"/>
      <c r="N58" s="15" t="n"/>
    </row>
    <row r="59">
      <c r="B59" s="25" t="inlineStr">
        <is>
          <t>EUR m</t>
        </is>
      </c>
      <c r="C59" s="26" t="n"/>
      <c r="D59" s="26" t="n"/>
      <c r="E59" s="26" t="inlineStr">
        <is>
          <t>FY26E</t>
        </is>
      </c>
      <c r="F59" s="26" t="inlineStr">
        <is>
          <t>FY27E</t>
        </is>
      </c>
      <c r="G59" s="26" t="inlineStr">
        <is>
          <t>FY28E</t>
        </is>
      </c>
      <c r="H59" s="26" t="inlineStr">
        <is>
          <t>FY29E</t>
        </is>
      </c>
      <c r="I59" s="26" t="inlineStr">
        <is>
          <t>FY30E</t>
        </is>
      </c>
      <c r="J59" s="53" t="inlineStr">
        <is>
          <t>FY31E</t>
        </is>
      </c>
      <c r="K59" s="53" t="inlineStr">
        <is>
          <t>FY32E</t>
        </is>
      </c>
      <c r="L59" s="53" t="inlineStr">
        <is>
          <t>FY33E</t>
        </is>
      </c>
      <c r="M59" s="53" t="inlineStr">
        <is>
          <t>FY34E</t>
        </is>
      </c>
      <c r="N59" s="53" t="inlineStr">
        <is>
          <t>FY35E</t>
        </is>
      </c>
    </row>
    <row r="60">
      <c r="B60" s="10" t="inlineStr">
        <is>
          <t>EUV low-NA revenue (units x ASP)</t>
        </is>
      </c>
      <c r="E60" s="42">
        <f>Assumptions!$E$59*Assumptions!$E$64</f>
        <v>16575.0</v>
      </c>
      <c r="F60" s="42">
        <f>Assumptions!$F$59*Assumptions!$F$64</f>
        <v>19500.0</v>
      </c>
      <c r="G60" s="42">
        <f>Assumptions!$G$59*Assumptions!$G$64</f>
        <v>21730.0</v>
      </c>
      <c r="H60" s="42">
        <f>Assumptions!$H$59*Assumptions!$H$64</f>
        <v>23220.0</v>
      </c>
      <c r="I60" s="42">
        <f>Assumptions!$I$59*Assumptions!$I$64</f>
        <v>24200.0</v>
      </c>
    </row>
    <row r="61">
      <c r="B61" s="10" t="inlineStr">
        <is>
          <t>EUV High-NA revenue</t>
        </is>
      </c>
      <c r="E61" s="42">
        <f>Assumptions!$E$69*Assumptions!$E$74</f>
        <v>2800.0</v>
      </c>
      <c r="F61" s="42">
        <f>Assumptions!$F$69*Assumptions!$F$74</f>
        <v>3600.0</v>
      </c>
      <c r="G61" s="42">
        <f>Assumptions!$G$69*Assumptions!$G$74</f>
        <v>5180.0</v>
      </c>
      <c r="H61" s="42">
        <f>Assumptions!$H$69*Assumptions!$H$74</f>
        <v>6840.0</v>
      </c>
      <c r="I61" s="42">
        <f>Assumptions!$I$69*Assumptions!$I$74</f>
        <v>8580.0</v>
      </c>
    </row>
    <row r="62">
      <c r="B62" s="10" t="inlineStr">
        <is>
          <t>DUV immersion revenue</t>
        </is>
      </c>
      <c r="E62" s="42">
        <f>Assumptions!$E$79*Assumptions!$E$84</f>
        <v>11180.0</v>
      </c>
      <c r="F62" s="42">
        <f>Assumptions!$F$79*Assumptions!$F$84</f>
        <v>12615.0</v>
      </c>
      <c r="G62" s="42">
        <f>Assumptions!$G$79*Assumptions!$G$84</f>
        <v>13350.0</v>
      </c>
      <c r="H62" s="42">
        <f>Assumptions!$H$79*Assumptions!$H$84</f>
        <v>13195.0</v>
      </c>
      <c r="I62" s="42">
        <f>Assumptions!$I$79*Assumptions!$I$84</f>
        <v>13020.0</v>
      </c>
    </row>
    <row r="63">
      <c r="B63" s="10" t="inlineStr">
        <is>
          <t>Other DUV revenue</t>
        </is>
      </c>
      <c r="E63" s="42">
        <f>Assumptions!$C$47*(1+Assumptions!$E$89)</f>
        <v>1735.6</v>
      </c>
      <c r="F63" s="42">
        <f>E63*(1+Assumptions!$F$89)</f>
        <v>1735.6</v>
      </c>
      <c r="G63" s="42">
        <f>F63*(1+Assumptions!$G$89)</f>
        <v>1735.6</v>
      </c>
      <c r="H63" s="42">
        <f>G63*(1+Assumptions!$H$89)</f>
        <v>1735.6</v>
      </c>
      <c r="I63" s="42">
        <f>H63*(1+Assumptions!$I$89)</f>
        <v>1735.6</v>
      </c>
    </row>
    <row r="64">
      <c r="B64" s="10" t="inlineStr">
        <is>
          <t>Metrology &amp; inspection revenue</t>
        </is>
      </c>
      <c r="E64" s="42">
        <f>Assumptions!$C$48*(1+Assumptions!$E$94)</f>
        <v>989.52</v>
      </c>
      <c r="F64" s="42">
        <f>E64*(1+Assumptions!$F$94)</f>
        <v>1088.472</v>
      </c>
      <c r="G64" s="42">
        <f>F64*(1+Assumptions!$G$94)</f>
        <v>1175.54976</v>
      </c>
      <c r="H64" s="42">
        <f>G64*(1+Assumptions!$H$94)</f>
        <v>1246.0827456000002</v>
      </c>
      <c r="I64" s="42">
        <f>H64*(1+Assumptions!$I$94)</f>
        <v>1308.3868828800003</v>
      </c>
    </row>
    <row r="65">
      <c r="B65" s="10" t="inlineStr">
        <is>
          <t>Installed base revenue</t>
        </is>
      </c>
      <c r="E65" s="42">
        <f>Assumptions!$C$49*(1+Assumptions!$E$99)</f>
        <v>10650.9</v>
      </c>
      <c r="F65" s="42">
        <f>E65*(1+Assumptions!$F$99)</f>
        <v>11929.008000000002</v>
      </c>
      <c r="G65" s="42">
        <f>F65*(1+Assumptions!$G$99)</f>
        <v>13121.908800000003</v>
      </c>
      <c r="H65" s="42">
        <f>G65*(1+Assumptions!$H$99)</f>
        <v>14171.661504000003</v>
      </c>
      <c r="I65" s="42">
        <f>H65*(1+Assumptions!$I$99)</f>
        <v>15163.677809280005</v>
      </c>
    </row>
    <row r="66">
      <c r="B66" s="3" t="inlineStr">
        <is>
          <t>Revenue</t>
        </is>
      </c>
      <c r="E66" s="43">
        <f>SUM(E60:E65)</f>
        <v>43931.02</v>
      </c>
      <c r="F66" s="43">
        <f>SUM(F60:F65)</f>
        <v>50468.08</v>
      </c>
      <c r="G66" s="43">
        <f>SUM(G60:G65)</f>
        <v>56293.058560000005</v>
      </c>
      <c r="H66" s="43">
        <f>SUM(H60:H65)</f>
        <v>60408.3442496</v>
      </c>
      <c r="I66" s="43">
        <f>SUM(I60:I65)</f>
        <v>64007.664692160004</v>
      </c>
      <c r="J66" s="43">
        <f>I66*(1+J67)</f>
        <v>67378.72649747752</v>
      </c>
      <c r="K66" s="43">
        <f>J66*(1+K67)</f>
        <v>70461.29649624792</v>
      </c>
      <c r="L66" s="43">
        <f>K66*(1+L67)</f>
        <v>73197.53881233593</v>
      </c>
      <c r="M66" s="43">
        <f>L66*(1+M67)</f>
        <v>75533.75781928842</v>
      </c>
      <c r="N66" s="43">
        <f>M66*(1+N67)</f>
        <v>77422.10176477063</v>
      </c>
    </row>
    <row r="67">
      <c r="B67" s="10" t="inlineStr">
        <is>
          <t>Growth %</t>
        </is>
      </c>
      <c r="E67" s="33">
        <f>E66/Historical!$H$6-1</f>
        <v>0.34480107018333306</v>
      </c>
      <c r="F67" s="33">
        <f>F66/E66-1</f>
        <v>0.1488028277057989</v>
      </c>
      <c r="G67" s="33">
        <f>G66/F66-1</f>
        <v>0.11541906408961866</v>
      </c>
      <c r="H67" s="33">
        <f>H66/G66-1</f>
        <v>0.07310467391310271</v>
      </c>
      <c r="I67" s="33">
        <f>I66/H66-1</f>
        <v>0.05958316665141572</v>
      </c>
      <c r="J67" s="33">
        <f>$I67+($C$81-$I67)*(COLUMN()-COLUMN($I67))/Assumptions!$C$13</f>
        <v>0.05266653332113257</v>
      </c>
      <c r="K67" s="33">
        <f>$I67+($C$81-$I67)*(COLUMN()-COLUMN($I67))/Assumptions!$C$13</f>
        <v>0.045749899990849434</v>
      </c>
      <c r="L67" s="33">
        <f>$I67+($C$81-$I67)*(COLUMN()-COLUMN($I67))/Assumptions!$C$13</f>
        <v>0.03883326666056629</v>
      </c>
      <c r="M67" s="33">
        <f>$I67+($C$81-$I67)*(COLUMN()-COLUMN($I67))/Assumptions!$C$13</f>
        <v>0.03191663333028315</v>
      </c>
      <c r="N67" s="33">
        <f>$I67+($C$81-$I67)*(COLUMN()-COLUMN($I67))/Assumptions!$C$13</f>
        <v>0.025</v>
      </c>
    </row>
    <row r="68">
      <c r="B68" s="10" t="inlineStr">
        <is>
          <t>EBITDA</t>
        </is>
      </c>
      <c r="E68" s="42">
        <f>E66*Assumptions!$E$110</f>
        <v>18011.7182</v>
      </c>
      <c r="F68" s="42">
        <f>F66*Assumptions!$F$110</f>
        <v>21196.5936</v>
      </c>
      <c r="G68" s="42">
        <f>G66*Assumptions!$G$110</f>
        <v>23924.549888</v>
      </c>
      <c r="H68" s="42">
        <f>H66*Assumptions!$H$110</f>
        <v>25975.588027327998</v>
      </c>
      <c r="I68" s="42">
        <f>I66*Assumptions!$I$110</f>
        <v>27523.2958176288</v>
      </c>
      <c r="J68" s="42">
        <f>J66*Assumptions!$I$110</f>
        <v>28972.85239391533</v>
      </c>
      <c r="K68" s="42">
        <f>K66*Assumptions!$I$110</f>
        <v>30298.357493386604</v>
      </c>
      <c r="L68" s="42">
        <f>L66*Assumptions!$I$110</f>
        <v>31474.94168930445</v>
      </c>
      <c r="M68" s="42">
        <f>M66*Assumptions!$I$110</f>
        <v>32479.51586229402</v>
      </c>
      <c r="N68" s="42">
        <f>N66*Assumptions!$I$110</f>
        <v>33291.50375885137</v>
      </c>
    </row>
    <row r="69">
      <c r="B69" s="10" t="inlineStr">
        <is>
          <t>D&amp;A</t>
        </is>
      </c>
      <c r="E69" s="42">
        <f>E66*Assumptions!$E$115</f>
        <v>1230.06856</v>
      </c>
      <c r="F69" s="42">
        <f>F66*Assumptions!$F$115</f>
        <v>1413.10624</v>
      </c>
      <c r="G69" s="42">
        <f>G66*Assumptions!$G$115</f>
        <v>1576.20563968</v>
      </c>
      <c r="H69" s="42">
        <f>H66*Assumptions!$H$115</f>
        <v>1691.4336389888</v>
      </c>
      <c r="I69" s="42">
        <f>I66*Assumptions!$I$115</f>
        <v>1792.2146113804802</v>
      </c>
      <c r="J69" s="42">
        <f>J66*Assumptions!$I$115</f>
        <v>1886.6043419293705</v>
      </c>
      <c r="K69" s="42">
        <f>K66*Assumptions!$I$115</f>
        <v>1972.9163018949416</v>
      </c>
      <c r="L69" s="42">
        <f>L66*Assumptions!$I$115</f>
        <v>2049.531086745406</v>
      </c>
      <c r="M69" s="42">
        <f>M66*Assumptions!$I$115</f>
        <v>2114.945218940076</v>
      </c>
      <c r="N69" s="42">
        <f>N66*Assumptions!$I$115</f>
        <v>2167.818849413578</v>
      </c>
    </row>
    <row r="70">
      <c r="B70" s="10" t="inlineStr">
        <is>
          <t>EBIT</t>
        </is>
      </c>
      <c r="E70" s="42">
        <f>E68-E69</f>
        <v>16781.64964</v>
      </c>
      <c r="F70" s="42">
        <f>F68-F69</f>
        <v>19783.48736</v>
      </c>
      <c r="G70" s="42">
        <f>G68-G69</f>
        <v>22348.34424832</v>
      </c>
      <c r="H70" s="42">
        <f>H68-H69</f>
        <v>24284.154388339197</v>
      </c>
      <c r="I70" s="42">
        <f>I68-I69</f>
        <v>25731.08120624832</v>
      </c>
      <c r="J70" s="42">
        <f>J68-J69</f>
        <v>27086.24805198596</v>
      </c>
      <c r="K70" s="42">
        <f>K68-K69</f>
        <v>28325.441191491664</v>
      </c>
      <c r="L70" s="42">
        <f>L68-L69</f>
        <v>29425.410602559044</v>
      </c>
      <c r="M70" s="42">
        <f>M68-M69</f>
        <v>30364.570643353945</v>
      </c>
      <c r="N70" s="42">
        <f>N68-N69</f>
        <v>31123.684909437794</v>
      </c>
    </row>
    <row r="71">
      <c r="B71" s="10" t="inlineStr">
        <is>
          <t>NOPAT</t>
        </is>
      </c>
      <c r="E71" s="42">
        <f>E70*(1-Assumptions!$E$130)</f>
        <v>13844.860953</v>
      </c>
      <c r="F71" s="42">
        <f>F70*(1-Assumptions!$F$130)</f>
        <v>16321.377072</v>
      </c>
      <c r="G71" s="42">
        <f>G70*(1-Assumptions!$G$130)</f>
        <v>18437.384004864</v>
      </c>
      <c r="H71" s="42">
        <f>H70*(1-Assumptions!$H$130)</f>
        <v>20034.427370379835</v>
      </c>
      <c r="I71" s="42">
        <f>I70*(1-Assumptions!$I$130)</f>
        <v>21228.141995154863</v>
      </c>
      <c r="J71" s="42">
        <f>J70*(1-Assumptions!$I$130)</f>
        <v>22346.154642888418</v>
      </c>
      <c r="K71" s="42">
        <f>K70*(1-Assumptions!$I$130)</f>
        <v>23368.48898298062</v>
      </c>
      <c r="L71" s="42">
        <f>L70*(1-Assumptions!$I$130)</f>
        <v>24275.96374711121</v>
      </c>
      <c r="M71" s="42">
        <f>M70*(1-Assumptions!$I$130)</f>
        <v>25050.770780767005</v>
      </c>
      <c r="N71" s="42">
        <f>N70*(1-Assumptions!$I$130)</f>
        <v>25677.040050286178</v>
      </c>
    </row>
    <row r="72">
      <c r="B72" s="10" t="inlineStr">
        <is>
          <t>CapEx</t>
        </is>
      </c>
      <c r="E72" s="42">
        <f>E66*Assumptions!$E$120</f>
        <v>2416.2061</v>
      </c>
      <c r="F72" s="42">
        <f>F66*Assumptions!$F$120</f>
        <v>2775.7444</v>
      </c>
      <c r="G72" s="42">
        <f>G66*Assumptions!$G$120</f>
        <v>3096.1182208000005</v>
      </c>
      <c r="H72" s="42">
        <f>H66*Assumptions!$H$120</f>
        <v>3322.458933728</v>
      </c>
      <c r="I72" s="42">
        <f>I66*Assumptions!$I$120</f>
        <v>3520.4215580688</v>
      </c>
      <c r="J72" s="42">
        <f>J66*Assumptions!$I$120</f>
        <v>3705.8299573612635</v>
      </c>
      <c r="K72" s="42">
        <f>K66*Assumptions!$I$120</f>
        <v>3875.3713072936353</v>
      </c>
      <c r="L72" s="42">
        <f>L66*Assumptions!$I$120</f>
        <v>4025.8646346784762</v>
      </c>
      <c r="M72" s="42">
        <f>M66*Assumptions!$I$120</f>
        <v>4154.356680060863</v>
      </c>
      <c r="N72" s="42">
        <f>N66*Assumptions!$I$120</f>
        <v>4258.215597062384</v>
      </c>
    </row>
    <row r="73">
      <c r="B73" s="10" t="inlineStr">
        <is>
          <t>NWC</t>
        </is>
      </c>
      <c r="E73" s="42">
        <f>E66*Assumptions!$E$125</f>
        <v>-5271.7224</v>
      </c>
      <c r="F73" s="42">
        <f>F66*Assumptions!$F$125</f>
        <v>-6056.1696</v>
      </c>
      <c r="G73" s="42">
        <f>G66*Assumptions!$G$125</f>
        <v>-6755.1670272</v>
      </c>
      <c r="H73" s="42">
        <f>H66*Assumptions!$H$125</f>
        <v>-7249.001309951999</v>
      </c>
      <c r="I73" s="42">
        <f>I66*Assumptions!$I$125</f>
        <v>-7680.9197630592</v>
      </c>
      <c r="J73" s="42">
        <f>J66*Assumptions!$I$125</f>
        <v>-8085.447179697302</v>
      </c>
      <c r="K73" s="42">
        <f>K66*Assumptions!$I$125</f>
        <v>-8455.35557954975</v>
      </c>
      <c r="L73" s="42">
        <f>L66*Assumptions!$I$125</f>
        <v>-8783.704657480312</v>
      </c>
      <c r="M73" s="42">
        <f>M66*Assumptions!$I$125</f>
        <v>-9064.05093831461</v>
      </c>
      <c r="N73" s="42">
        <f>N66*Assumptions!$I$125</f>
        <v>-9290.652211772476</v>
      </c>
    </row>
    <row r="74">
      <c r="B74" s="10" t="inlineStr">
        <is>
          <t>Change in NWC</t>
        </is>
      </c>
      <c r="E74" s="42">
        <f>E73-Historical!$H$43</f>
        <v>3648.477600000001</v>
      </c>
      <c r="F74" s="42">
        <f>F73-E73</f>
        <v>-784.4472000000005</v>
      </c>
      <c r="G74" s="42">
        <f>G73-F73</f>
        <v>-698.9974272</v>
      </c>
      <c r="H74" s="42">
        <f>H73-G73</f>
        <v>-493.8342827519991</v>
      </c>
      <c r="I74" s="42">
        <f>I73-H73</f>
        <v>-431.91845310720055</v>
      </c>
      <c r="J74" s="42">
        <f>J73-I73</f>
        <v>-404.5274166381023</v>
      </c>
      <c r="K74" s="42">
        <f>K73-J73</f>
        <v>-369.9083998524484</v>
      </c>
      <c r="L74" s="42">
        <f>L73-K73</f>
        <v>-328.3490779305612</v>
      </c>
      <c r="M74" s="42">
        <f>M73-L73</f>
        <v>-280.34628083429925</v>
      </c>
      <c r="N74" s="42">
        <f>N73-M73</f>
        <v>-226.60127345786532</v>
      </c>
    </row>
    <row r="75">
      <c r="B75" s="3" t="inlineStr">
        <is>
          <t>Unlevered FCF</t>
        </is>
      </c>
      <c r="E75" s="43">
        <f>E71+E69-E72-E74</f>
        <v>9010.245812999998</v>
      </c>
      <c r="F75" s="43">
        <f>F71+F69-F72-F74</f>
        <v>15743.186112000001</v>
      </c>
      <c r="G75" s="43">
        <f>G71+G69-G72-G74</f>
        <v>17616.468850944002</v>
      </c>
      <c r="H75" s="43">
        <f>H71+H69-H72-H74</f>
        <v>18897.236358392634</v>
      </c>
      <c r="I75" s="43">
        <f>I71+I69-I72-I74</f>
        <v>19931.853501573743</v>
      </c>
      <c r="J75" s="43">
        <f>J71+J69-J72-J74</f>
        <v>20931.456444094627</v>
      </c>
      <c r="K75" s="43">
        <f>K71+K69-K72-K74</f>
        <v>21835.94237743437</v>
      </c>
      <c r="L75" s="43">
        <f>L71+L69-L72-L74</f>
        <v>22627.9792771087</v>
      </c>
      <c r="M75" s="43">
        <f>M71+M69-M72-M74</f>
        <v>23291.705600480516</v>
      </c>
      <c r="N75" s="43">
        <f>N71+N69-N72-N74</f>
        <v>23813.244576095236</v>
      </c>
    </row>
    <row r="76">
      <c r="B76" s="10" t="inlineStr">
        <is>
          <t>Cash flow to discount (FY26 net of H1 actual)</t>
        </is>
      </c>
      <c r="E76" s="42">
        <f>E75-Assumptions!$C$21</f>
        <v>10301.145812999997</v>
      </c>
      <c r="F76" s="42">
        <f>F75</f>
        <v>15743.186112000001</v>
      </c>
      <c r="G76" s="42">
        <f>G75</f>
        <v>17616.468850944002</v>
      </c>
      <c r="H76" s="42">
        <f>H75</f>
        <v>18897.236358392634</v>
      </c>
      <c r="I76" s="42">
        <f>I75</f>
        <v>19931.853501573743</v>
      </c>
      <c r="J76" s="42">
        <f>J75</f>
        <v>20931.456444094627</v>
      </c>
      <c r="K76" s="42">
        <f>K75</f>
        <v>21835.94237743437</v>
      </c>
      <c r="L76" s="42">
        <f>L75</f>
        <v>22627.9792771087</v>
      </c>
      <c r="M76" s="42">
        <f>M75</f>
        <v>23291.705600480516</v>
      </c>
      <c r="N76" s="42">
        <f>N75</f>
        <v>23813.244576095236</v>
      </c>
    </row>
    <row r="77">
      <c r="B77" s="10" t="inlineStr">
        <is>
          <t>Discount factor</t>
        </is>
      </c>
      <c r="E77" s="67">
        <f>1/(1+$C$80)^DCF!E$7</f>
        <v>0.9896168151356254</v>
      </c>
      <c r="F77" s="67">
        <f>1/(1+$C$80)^DCF!F$7</f>
        <v>0.9364167646897859</v>
      </c>
      <c r="G77" s="67">
        <f>1/(1+$C$80)^DCF!G$7</f>
        <v>0.8561291348399724</v>
      </c>
      <c r="H77" s="67">
        <f>1/(1+$C$80)^DCF!H$7</f>
        <v>0.7827253026216935</v>
      </c>
      <c r="I77" s="67">
        <f>1/(1+$C$80)^DCF!I$7</f>
        <v>0.7156150566920488</v>
      </c>
      <c r="J77" s="67">
        <f>1/(1+$C$80)^DCF!J$7</f>
        <v>0.6542587899600261</v>
      </c>
      <c r="K77" s="67">
        <f>1/(1+$C$80)^DCF!K$7</f>
        <v>0.5981631608181246</v>
      </c>
      <c r="L77" s="67">
        <f>1/(1+$C$80)^DCF!L$7</f>
        <v>0.5468771263765375</v>
      </c>
      <c r="M77" s="67">
        <f>1/(1+$C$80)^DCF!M$7</f>
        <v>0.4999883158046821</v>
      </c>
      <c r="N77" s="67">
        <f>1/(1+$C$80)^DCF!N$7</f>
        <v>0.45711971461955025</v>
      </c>
    </row>
    <row r="78">
      <c r="B78" s="3" t="inlineStr">
        <is>
          <t>PV of cash flow</t>
        </is>
      </c>
      <c r="E78" s="43">
        <f>E76*E77</f>
        <v>10194.18711170874</v>
      </c>
      <c r="F78" s="43">
        <f>F76*F77</f>
        <v>14742.18340490821</v>
      </c>
      <c r="G78" s="43">
        <f>G76*G77</f>
        <v>15081.972236294012</v>
      </c>
      <c r="H78" s="43">
        <f>H76*H77</f>
        <v>14791.345047336545</v>
      </c>
      <c r="I78" s="43">
        <f>I76*I77</f>
        <v>14263.534473506306</v>
      </c>
      <c r="J78" s="43">
        <f>J76*J77</f>
        <v>13694.58936521434</v>
      </c>
      <c r="K78" s="43">
        <f>K76*K77</f>
        <v>13061.456311928578</v>
      </c>
      <c r="L78" s="43">
        <f>L76*L77</f>
        <v>12374.724282773048</v>
      </c>
      <c r="M78" s="43">
        <f>M76*M77</f>
        <v>11645.580655402735</v>
      </c>
      <c r="N78" s="43">
        <f>N76*N77</f>
        <v>10885.503564790208</v>
      </c>
    </row>
    <row r="80">
      <c r="B80" s="10" t="inlineStr">
        <is>
          <t>WACC</t>
        </is>
      </c>
      <c r="C80" s="59">
        <f>WACC!$C$33+Assumptions!$E$145</f>
        <v>0.09377981262700602</v>
      </c>
    </row>
    <row r="81">
      <c r="B81" s="10" t="inlineStr">
        <is>
          <t>Terminal growth</t>
        </is>
      </c>
      <c r="C81" s="57">
        <f>Assumptions!$E$135</f>
        <v>0.025</v>
      </c>
    </row>
    <row r="82">
      <c r="B82" s="10" t="inlineStr">
        <is>
          <t>Exit multiple</t>
        </is>
      </c>
      <c r="C82" s="68">
        <f>Assumptions!$E$140</f>
        <v>20.0</v>
      </c>
    </row>
    <row r="83">
      <c r="B83" s="10" t="inlineStr">
        <is>
          <t>Sum PV of cash flows</t>
        </is>
      </c>
      <c r="C83" s="42">
        <f>SUM(E78:N78)</f>
        <v>130735.07645386273</v>
      </c>
    </row>
    <row r="84">
      <c r="B84" s="10" t="inlineStr">
        <is>
          <t>PV terminal value (Gordon)</t>
        </is>
      </c>
      <c r="C84" s="42">
        <f>N75*(1+C81)/(C80-C81)/(1+C80)^DCF!$N$6</f>
        <v>155112.37572455037</v>
      </c>
    </row>
    <row r="85">
      <c r="B85" s="10" t="inlineStr">
        <is>
          <t>PV terminal value (Exit)</t>
        </is>
      </c>
      <c r="C85" s="42">
        <f>N68*C82/(1+C80)^DCF!$N$6</f>
        <v>291023.7337196521</v>
      </c>
    </row>
    <row r="89">
      <c r="B89" s="14" t="inlineStr">
        <is>
          <t>Bull case build</t>
        </is>
      </c>
      <c r="C89" s="15" t="n"/>
      <c r="D89" s="15" t="n"/>
      <c r="E89" s="15" t="n"/>
      <c r="F89" s="15" t="n"/>
      <c r="G89" s="15" t="n"/>
      <c r="H89" s="15" t="n"/>
      <c r="I89" s="15" t="n"/>
      <c r="J89" s="15" t="n"/>
      <c r="K89" s="15" t="n"/>
      <c r="L89" s="15" t="n"/>
      <c r="M89" s="15" t="n"/>
      <c r="N89" s="15" t="n"/>
    </row>
    <row r="90">
      <c r="B90" s="25" t="inlineStr">
        <is>
          <t>EUR m</t>
        </is>
      </c>
      <c r="C90" s="26" t="n"/>
      <c r="D90" s="26" t="n"/>
      <c r="E90" s="26" t="inlineStr">
        <is>
          <t>FY26E</t>
        </is>
      </c>
      <c r="F90" s="26" t="inlineStr">
        <is>
          <t>FY27E</t>
        </is>
      </c>
      <c r="G90" s="26" t="inlineStr">
        <is>
          <t>FY28E</t>
        </is>
      </c>
      <c r="H90" s="26" t="inlineStr">
        <is>
          <t>FY29E</t>
        </is>
      </c>
      <c r="I90" s="26" t="inlineStr">
        <is>
          <t>FY30E</t>
        </is>
      </c>
      <c r="J90" s="53" t="inlineStr">
        <is>
          <t>FY31E</t>
        </is>
      </c>
      <c r="K90" s="53" t="inlineStr">
        <is>
          <t>FY32E</t>
        </is>
      </c>
      <c r="L90" s="53" t="inlineStr">
        <is>
          <t>FY33E</t>
        </is>
      </c>
      <c r="M90" s="53" t="inlineStr">
        <is>
          <t>FY34E</t>
        </is>
      </c>
      <c r="N90" s="53" t="inlineStr">
        <is>
          <t>FY35E</t>
        </is>
      </c>
    </row>
    <row r="91">
      <c r="B91" s="10" t="inlineStr">
        <is>
          <t>EUV low-NA revenue (units x ASP)</t>
        </is>
      </c>
      <c r="E91" s="42">
        <f>Assumptions!$E$60*Assumptions!$E$65</f>
        <v>16770.0</v>
      </c>
      <c r="F91" s="42">
        <f>Assumptions!$F$60*Assumptions!$F$65</f>
        <v>22008.0</v>
      </c>
      <c r="G91" s="42">
        <f>Assumptions!$G$60*Assumptions!$G$65</f>
        <v>27000.0</v>
      </c>
      <c r="H91" s="42">
        <f>Assumptions!$H$60*Assumptions!$H$65</f>
        <v>29362.0</v>
      </c>
      <c r="I91" s="42">
        <f>Assumptions!$I$60*Assumptions!$I$65</f>
        <v>31240.0</v>
      </c>
    </row>
    <row r="92">
      <c r="B92" s="10" t="inlineStr">
        <is>
          <t>EUV High-NA revenue</t>
        </is>
      </c>
      <c r="E92" s="42">
        <f>Assumptions!$E$70*Assumptions!$E$75</f>
        <v>3195.0</v>
      </c>
      <c r="F92" s="42">
        <f>Assumptions!$F$70*Assumptions!$F$75</f>
        <v>5180.0</v>
      </c>
      <c r="G92" s="42">
        <f>Assumptions!$G$70*Assumptions!$G$75</f>
        <v>7700.0</v>
      </c>
      <c r="H92" s="42">
        <f>Assumptions!$H$70*Assumptions!$H$75</f>
        <v>10270.0</v>
      </c>
      <c r="I92" s="42">
        <f>Assumptions!$I$70*Assumptions!$I$75</f>
        <v>12960.0</v>
      </c>
    </row>
    <row r="93">
      <c r="B93" s="10" t="inlineStr">
        <is>
          <t>DUV immersion revenue</t>
        </is>
      </c>
      <c r="E93" s="42">
        <f>Assumptions!$E$80*Assumptions!$E$85</f>
        <v>11440.0</v>
      </c>
      <c r="F93" s="42">
        <f>Assumptions!$F$80*Assumptions!$F$85</f>
        <v>14685.0</v>
      </c>
      <c r="G93" s="42">
        <f>Assumptions!$G$80*Assumptions!$G$85</f>
        <v>16560.0</v>
      </c>
      <c r="H93" s="42">
        <f>Assumptions!$H$80*Assumptions!$H$85</f>
        <v>16450.0</v>
      </c>
      <c r="I93" s="42">
        <f>Assumptions!$I$80*Assumptions!$I$85</f>
        <v>16320.0</v>
      </c>
    </row>
    <row r="94">
      <c r="B94" s="10" t="inlineStr">
        <is>
          <t>Other DUV revenue</t>
        </is>
      </c>
      <c r="E94" s="42">
        <f>Assumptions!$C$47*(1+Assumptions!$E$90)</f>
        <v>1770.312</v>
      </c>
      <c r="F94" s="42">
        <f>E94*(1+Assumptions!$F$90)</f>
        <v>1858.8276</v>
      </c>
      <c r="G94" s="42">
        <f>F94*(1+Assumptions!$G$90)</f>
        <v>1858.8276</v>
      </c>
      <c r="H94" s="42">
        <f>G94*(1+Assumptions!$H$90)</f>
        <v>1858.8276</v>
      </c>
      <c r="I94" s="42">
        <f>H94*(1+Assumptions!$I$90)</f>
        <v>1858.8276</v>
      </c>
    </row>
    <row r="95">
      <c r="B95" s="10" t="inlineStr">
        <is>
          <t>Metrology &amp; inspection revenue</t>
        </is>
      </c>
      <c r="E95" s="42">
        <f>Assumptions!$C$48*(1+Assumptions!$E$95)</f>
        <v>1006.0120000000001</v>
      </c>
      <c r="F95" s="42">
        <f>E95*(1+Assumptions!$F$95)</f>
        <v>1146.8536800000002</v>
      </c>
      <c r="G95" s="42">
        <f>F95*(1+Assumptions!$G$95)</f>
        <v>1284.4761216000004</v>
      </c>
      <c r="H95" s="42">
        <f>G95*(1+Assumptions!$H$95)</f>
        <v>1412.9237337600005</v>
      </c>
      <c r="I95" s="42">
        <f>H95*(1+Assumptions!$I$95)</f>
        <v>1525.9576324608006</v>
      </c>
    </row>
    <row r="96">
      <c r="B96" s="10" t="inlineStr">
        <is>
          <t>Installed base revenue</t>
        </is>
      </c>
      <c r="E96" s="42">
        <f>Assumptions!$C$49*(1+Assumptions!$E$100)</f>
        <v>10732.83</v>
      </c>
      <c r="F96" s="42">
        <f>E96*(1+Assumptions!$F$100)</f>
        <v>12342.7545</v>
      </c>
      <c r="G96" s="42">
        <f>F96*(1+Assumptions!$G$100)</f>
        <v>13947.312584999998</v>
      </c>
      <c r="H96" s="42">
        <f>G96*(1+Assumptions!$H$100)</f>
        <v>15481.51696935</v>
      </c>
      <c r="I96" s="42">
        <f>H96*(1+Assumptions!$I$100)</f>
        <v>17029.668666285</v>
      </c>
    </row>
    <row r="97">
      <c r="B97" s="3" t="inlineStr">
        <is>
          <t>Revenue</t>
        </is>
      </c>
      <c r="E97" s="43">
        <f>SUM(E91:E96)</f>
        <v>44914.154</v>
      </c>
      <c r="F97" s="43">
        <f>SUM(F91:F96)</f>
        <v>57221.43578</v>
      </c>
      <c r="G97" s="43">
        <f>SUM(G91:G96)</f>
        <v>68350.61630659999</v>
      </c>
      <c r="H97" s="43">
        <f>SUM(H91:H96)</f>
        <v>74835.26830311</v>
      </c>
      <c r="I97" s="43">
        <f>SUM(I91:I96)</f>
        <v>80934.45389874579</v>
      </c>
      <c r="J97" s="43">
        <f>I97*(1+J98)</f>
        <v>86697.083251741</v>
      </c>
      <c r="K97" s="43">
        <f>J97*(1+K98)</f>
        <v>91977.01293738182</v>
      </c>
      <c r="L97" s="43">
        <f>K97*(1+L98)</f>
        <v>96631.10447481295</v>
      </c>
      <c r="M97" s="43">
        <f>L97*(1+M98)</f>
        <v>100525.3667100388</v>
      </c>
      <c r="N97" s="43">
        <f>M97*(1+N98)</f>
        <v>103541.12771133997</v>
      </c>
    </row>
    <row r="98">
      <c r="B98" s="10" t="inlineStr">
        <is>
          <t>Growth %</t>
        </is>
      </c>
      <c r="E98" s="33">
        <f>E97/Historical!$H$6-1</f>
        <v>0.3748964254774654</v>
      </c>
      <c r="F98" s="33">
        <f>F97/E97-1</f>
        <v>0.27401789155374034</v>
      </c>
      <c r="G98" s="33">
        <f>G97/F97-1</f>
        <v>0.19449320652121505</v>
      </c>
      <c r="H98" s="33">
        <f>H97/G97-1</f>
        <v>0.09487335077451009</v>
      </c>
      <c r="I98" s="33">
        <f>I97/H97-1</f>
        <v>0.08150148631701137</v>
      </c>
      <c r="J98" s="33">
        <f>$I98+($C$112-$I98)*(COLUMN()-COLUMN($I98))/Assumptions!$C$13</f>
        <v>0.0712011890536091</v>
      </c>
      <c r="K98" s="33">
        <f>$I98+($C$112-$I98)*(COLUMN()-COLUMN($I98))/Assumptions!$C$13</f>
        <v>0.06090089179020682</v>
      </c>
      <c r="L98" s="33">
        <f>$I98+($C$112-$I98)*(COLUMN()-COLUMN($I98))/Assumptions!$C$13</f>
        <v>0.05060059452680455</v>
      </c>
      <c r="M98" s="33">
        <f>$I98+($C$112-$I98)*(COLUMN()-COLUMN($I98))/Assumptions!$C$13</f>
        <v>0.04030029726340227</v>
      </c>
      <c r="N98" s="33">
        <f>$I98+($C$112-$I98)*(COLUMN()-COLUMN($I98))/Assumptions!$C$13</f>
        <v>0.030000000000000006</v>
      </c>
    </row>
    <row r="99">
      <c r="B99" s="10" t="inlineStr">
        <is>
          <t>EBITDA</t>
        </is>
      </c>
      <c r="E99" s="42">
        <f>E97*Assumptions!$E$111</f>
        <v>18639.37391</v>
      </c>
      <c r="F99" s="42">
        <f>F97*Assumptions!$F$111</f>
        <v>24891.3245643</v>
      </c>
      <c r="G99" s="42">
        <f>G97*Assumptions!$G$111</f>
        <v>30757.777337969994</v>
      </c>
      <c r="H99" s="42">
        <f>H97*Assumptions!$H$111</f>
        <v>34424.2234194306</v>
      </c>
      <c r="I99" s="42">
        <f>I97*Assumptions!$I$111</f>
        <v>37634.52106291679</v>
      </c>
      <c r="J99" s="42">
        <f>J97*Assumptions!$I$111</f>
        <v>40314.143712059566</v>
      </c>
      <c r="K99" s="42">
        <f>K97*Assumptions!$I$111</f>
        <v>42769.31101588255</v>
      </c>
      <c r="L99" s="42">
        <f>L97*Assumptions!$I$111</f>
        <v>44933.463580788026</v>
      </c>
      <c r="M99" s="42">
        <f>M97*Assumptions!$I$111</f>
        <v>46744.295520168045</v>
      </c>
      <c r="N99" s="42">
        <f>N97*Assumptions!$I$111</f>
        <v>48146.62438577309</v>
      </c>
    </row>
    <row r="100">
      <c r="B100" s="10" t="inlineStr">
        <is>
          <t>D&amp;A</t>
        </is>
      </c>
      <c r="E100" s="42">
        <f>E97*Assumptions!$E$116</f>
        <v>1257.5963120000001</v>
      </c>
      <c r="F100" s="42">
        <f>F97*Assumptions!$F$116</f>
        <v>1544.97876606</v>
      </c>
      <c r="G100" s="42">
        <f>G97*Assumptions!$G$116</f>
        <v>1845.4666402781995</v>
      </c>
      <c r="H100" s="42">
        <f>H97*Assumptions!$H$116</f>
        <v>2020.55224418397</v>
      </c>
      <c r="I100" s="42">
        <f>I97*Assumptions!$I$116</f>
        <v>2185.2302552661363</v>
      </c>
      <c r="J100" s="42">
        <f>J97*Assumptions!$I$116</f>
        <v>2340.821247797007</v>
      </c>
      <c r="K100" s="42">
        <f>K97*Assumptions!$I$116</f>
        <v>2483.379349309309</v>
      </c>
      <c r="L100" s="42">
        <f>L97*Assumptions!$I$116</f>
        <v>2609.0398208199495</v>
      </c>
      <c r="M100" s="42">
        <f>M97*Assumptions!$I$116</f>
        <v>2714.1849011710474</v>
      </c>
      <c r="N100" s="42">
        <f>N97*Assumptions!$I$116</f>
        <v>2795.610448206179</v>
      </c>
    </row>
    <row r="101">
      <c r="B101" s="10" t="inlineStr">
        <is>
          <t>EBIT</t>
        </is>
      </c>
      <c r="E101" s="42">
        <f>E99-E100</f>
        <v>17381.777597999997</v>
      </c>
      <c r="F101" s="42">
        <f>F99-F100</f>
        <v>23346.34579824</v>
      </c>
      <c r="G101" s="42">
        <f>G99-G100</f>
        <v>28912.310697691795</v>
      </c>
      <c r="H101" s="42">
        <f>H99-H100</f>
        <v>32403.67117524663</v>
      </c>
      <c r="I101" s="42">
        <f>I99-I100</f>
        <v>35449.29080765066</v>
      </c>
      <c r="J101" s="42">
        <f>J99-J100</f>
        <v>37973.32246426256</v>
      </c>
      <c r="K101" s="42">
        <f>K99-K100</f>
        <v>40285.93166657324</v>
      </c>
      <c r="L101" s="42">
        <f>L99-L100</f>
        <v>42324.42375996808</v>
      </c>
      <c r="M101" s="42">
        <f>M99-M100</f>
        <v>44030.110618997</v>
      </c>
      <c r="N101" s="42">
        <f>N99-N100</f>
        <v>45351.01393756691</v>
      </c>
    </row>
    <row r="102">
      <c r="B102" s="10" t="inlineStr">
        <is>
          <t>NOPAT</t>
        </is>
      </c>
      <c r="E102" s="42">
        <f>E101*(1-Assumptions!$E$131)</f>
        <v>14426.875406339997</v>
      </c>
      <c r="F102" s="42">
        <f>F101*(1-Assumptions!$F$131)</f>
        <v>19377.4670125392</v>
      </c>
      <c r="G102" s="42">
        <f>G101*(1-Assumptions!$G$131)</f>
        <v>23997.21787908419</v>
      </c>
      <c r="H102" s="42">
        <f>H101*(1-Assumptions!$H$131)</f>
        <v>26895.047075454702</v>
      </c>
      <c r="I102" s="42">
        <f>I101*(1-Assumptions!$I$131)</f>
        <v>29422.911370350044</v>
      </c>
      <c r="J102" s="42">
        <f>J101*(1-Assumptions!$I$131)</f>
        <v>31517.85764533792</v>
      </c>
      <c r="K102" s="42">
        <f>K101*(1-Assumptions!$I$131)</f>
        <v>33437.32328325579</v>
      </c>
      <c r="L102" s="42">
        <f>L101*(1-Assumptions!$I$131)</f>
        <v>35129.271720773504</v>
      </c>
      <c r="M102" s="42">
        <f>M101*(1-Assumptions!$I$131)</f>
        <v>36544.99181376751</v>
      </c>
      <c r="N102" s="42">
        <f>N101*(1-Assumptions!$I$131)</f>
        <v>37641.341568180535</v>
      </c>
    </row>
    <row r="103">
      <c r="B103" s="10" t="inlineStr">
        <is>
          <t>CapEx</t>
        </is>
      </c>
      <c r="E103" s="42">
        <f>E97*Assumptions!$E$121</f>
        <v>2245.7077000000004</v>
      </c>
      <c r="F103" s="42">
        <f>F97*Assumptions!$F$121</f>
        <v>2861.071789</v>
      </c>
      <c r="G103" s="42">
        <f>G97*Assumptions!$G$121</f>
        <v>3417.5308153299993</v>
      </c>
      <c r="H103" s="42">
        <f>H97*Assumptions!$H$121</f>
        <v>3741.7634151555003</v>
      </c>
      <c r="I103" s="42">
        <f>I97*Assumptions!$I$121</f>
        <v>4046.72269493729</v>
      </c>
      <c r="J103" s="42">
        <f>J97*Assumptions!$I$121</f>
        <v>4334.85416258705</v>
      </c>
      <c r="K103" s="42">
        <f>K97*Assumptions!$I$121</f>
        <v>4598.850646869091</v>
      </c>
      <c r="L103" s="42">
        <f>L97*Assumptions!$I$121</f>
        <v>4831.555223740647</v>
      </c>
      <c r="M103" s="42">
        <f>M97*Assumptions!$I$121</f>
        <v>5026.26833550194</v>
      </c>
      <c r="N103" s="42">
        <f>N97*Assumptions!$I$121</f>
        <v>5177.056385566999</v>
      </c>
    </row>
    <row r="104">
      <c r="B104" s="10" t="inlineStr">
        <is>
          <t>NWC</t>
        </is>
      </c>
      <c r="E104" s="42">
        <f>E97*Assumptions!$E$126</f>
        <v>-6737.1231</v>
      </c>
      <c r="F104" s="42">
        <f>F97*Assumptions!$F$126</f>
        <v>-8583.215366999999</v>
      </c>
      <c r="G104" s="42">
        <f>G97*Assumptions!$G$126</f>
        <v>-10252.592445989998</v>
      </c>
      <c r="H104" s="42">
        <f>H97*Assumptions!$H$126</f>
        <v>-11225.2902454665</v>
      </c>
      <c r="I104" s="42">
        <f>I97*Assumptions!$I$126</f>
        <v>-12140.168084811869</v>
      </c>
      <c r="J104" s="42">
        <f>J97*Assumptions!$I$126</f>
        <v>-13004.56248776115</v>
      </c>
      <c r="K104" s="42">
        <f>K97*Assumptions!$I$126</f>
        <v>-13796.551940607273</v>
      </c>
      <c r="L104" s="42">
        <f>L97*Assumptions!$I$126</f>
        <v>-14494.665671221943</v>
      </c>
      <c r="M104" s="42">
        <f>M97*Assumptions!$I$126</f>
        <v>-15078.80500650582</v>
      </c>
      <c r="N104" s="42">
        <f>N97*Assumptions!$I$126</f>
        <v>-15531.169156700995</v>
      </c>
    </row>
    <row r="105">
      <c r="B105" s="10" t="inlineStr">
        <is>
          <t>Change in NWC</t>
        </is>
      </c>
      <c r="E105" s="42">
        <f>E104-Historical!$H$43</f>
        <v>2183.076900000001</v>
      </c>
      <c r="F105" s="42">
        <f>F104-E104</f>
        <v>-1846.092266999999</v>
      </c>
      <c r="G105" s="42">
        <f>G104-F104</f>
        <v>-1669.377078989999</v>
      </c>
      <c r="H105" s="42">
        <f>H104-G104</f>
        <v>-972.697799476502</v>
      </c>
      <c r="I105" s="42">
        <f>I104-H104</f>
        <v>-914.8778393453686</v>
      </c>
      <c r="J105" s="42">
        <f>J104-I104</f>
        <v>-864.3944029492814</v>
      </c>
      <c r="K105" s="42">
        <f>K104-J104</f>
        <v>-791.9894528461227</v>
      </c>
      <c r="L105" s="42">
        <f>L104-K104</f>
        <v>-698.1137306146702</v>
      </c>
      <c r="M105" s="42">
        <f>M104-L104</f>
        <v>-584.1393352838768</v>
      </c>
      <c r="N105" s="42">
        <f>N104-M104</f>
        <v>-452.36415019517517</v>
      </c>
    </row>
    <row r="106">
      <c r="B106" s="3" t="inlineStr">
        <is>
          <t>Unlevered FCF</t>
        </is>
      </c>
      <c r="E106" s="43">
        <f>E102+E100-E103-E105</f>
        <v>11255.687118339996</v>
      </c>
      <c r="F106" s="43">
        <f>F102+F100-F103-F105</f>
        <v>19907.4662565992</v>
      </c>
      <c r="G106" s="43">
        <f>G102+G100-G103-G105</f>
        <v>24094.53078302239</v>
      </c>
      <c r="H106" s="43">
        <f>H102+H100-H103-H105</f>
        <v>26146.533703959678</v>
      </c>
      <c r="I106" s="43">
        <f>I102+I100-I103-I105</f>
        <v>28476.29677002426</v>
      </c>
      <c r="J106" s="43">
        <f>J102+J100-J103-J105</f>
        <v>30388.21913349716</v>
      </c>
      <c r="K106" s="43">
        <f>K102+K100-K103-K105</f>
        <v>32113.841438542135</v>
      </c>
      <c r="L106" s="43">
        <f>L102+L100-L103-L105</f>
        <v>33604.87004846748</v>
      </c>
      <c r="M106" s="43">
        <f>M102+M100-M103-M105</f>
        <v>34817.047714720495</v>
      </c>
      <c r="N106" s="43">
        <f>N102+N100-N103-N105</f>
        <v>35712.25978101489</v>
      </c>
    </row>
    <row r="107">
      <c r="B107" s="10" t="inlineStr">
        <is>
          <t>Cash flow to discount (FY26 net of H1 actual)</t>
        </is>
      </c>
      <c r="E107" s="42">
        <f>E106-Assumptions!$C$21</f>
        <v>12546.587118339996</v>
      </c>
      <c r="F107" s="42">
        <f>F106</f>
        <v>19907.4662565992</v>
      </c>
      <c r="G107" s="42">
        <f>G106</f>
        <v>24094.53078302239</v>
      </c>
      <c r="H107" s="42">
        <f>H106</f>
        <v>26146.533703959678</v>
      </c>
      <c r="I107" s="42">
        <f>I106</f>
        <v>28476.29677002426</v>
      </c>
      <c r="J107" s="42">
        <f>J106</f>
        <v>30388.21913349716</v>
      </c>
      <c r="K107" s="42">
        <f>K106</f>
        <v>32113.841438542135</v>
      </c>
      <c r="L107" s="42">
        <f>L106</f>
        <v>33604.87004846748</v>
      </c>
      <c r="M107" s="42">
        <f>M106</f>
        <v>34817.047714720495</v>
      </c>
      <c r="N107" s="42">
        <f>N106</f>
        <v>35712.25978101489</v>
      </c>
    </row>
    <row r="108">
      <c r="B108" s="10" t="inlineStr">
        <is>
          <t>Discount factor</t>
        </is>
      </c>
      <c r="E108" s="67">
        <f>1/(1+$C$111)^DCF!E$7</f>
        <v>0.9901449120458914</v>
      </c>
      <c r="F108" s="67">
        <f>1/(1+$C$111)^DCF!F$7</f>
        <v>0.9395664278007617</v>
      </c>
      <c r="G108" s="67">
        <f>1/(1+$C$111)^DCF!G$7</f>
        <v>0.8629535714239388</v>
      </c>
      <c r="H108" s="67">
        <f>1/(1+$C$111)^DCF!H$7</f>
        <v>0.7925877770839688</v>
      </c>
      <c r="I108" s="67">
        <f>1/(1+$C$111)^DCF!I$7</f>
        <v>0.7279596552875225</v>
      </c>
      <c r="J108" s="67">
        <f>1/(1+$C$111)^DCF!J$7</f>
        <v>0.6686013524911917</v>
      </c>
      <c r="K108" s="67">
        <f>1/(1+$C$111)^DCF!K$7</f>
        <v>0.6140831642331717</v>
      </c>
      <c r="L108" s="67">
        <f>1/(1+$C$111)^DCF!L$7</f>
        <v>0.5640104244323862</v>
      </c>
      <c r="M108" s="67">
        <f>1/(1+$C$111)^DCF!M$7</f>
        <v>0.51802064833618</v>
      </c>
      <c r="N108" s="67">
        <f>1/(1+$C$111)^DCF!N$7</f>
        <v>0.4757809084339107</v>
      </c>
    </row>
    <row r="109">
      <c r="B109" s="3" t="inlineStr">
        <is>
          <t>PV of cash flow</t>
        </is>
      </c>
      <c r="E109" s="43">
        <f>E107*E108</f>
        <v>12422.93939876487</v>
      </c>
      <c r="F109" s="43">
        <f>F107*F108</f>
        <v>18704.38695727711</v>
      </c>
      <c r="G109" s="43">
        <f>G107*G108</f>
        <v>20792.461390993205</v>
      </c>
      <c r="H109" s="43">
        <f>H107*H108</f>
        <v>20723.423026872468</v>
      </c>
      <c r="I109" s="43">
        <f>I107*I108</f>
        <v>20729.59518057205</v>
      </c>
      <c r="J109" s="43">
        <f>J107*J108</f>
        <v>20317.60441245491</v>
      </c>
      <c r="K109" s="43">
        <f>K107*K108</f>
        <v>19720.569366262305</v>
      </c>
      <c r="L109" s="43">
        <f>L107*L108</f>
        <v>18953.497019031325</v>
      </c>
      <c r="M109" s="43">
        <f>M107*M108</f>
        <v>18035.949630331226</v>
      </c>
      <c r="N109" s="43">
        <f>N107*N108</f>
        <v>16991.211400839074</v>
      </c>
    </row>
    <row r="111">
      <c r="B111" s="10" t="inlineStr">
        <is>
          <t>WACC</t>
        </is>
      </c>
      <c r="C111" s="59">
        <f>WACC!$C$33+Assumptions!$E$146</f>
        <v>0.08877981262700602</v>
      </c>
    </row>
    <row r="112">
      <c r="B112" s="10" t="inlineStr">
        <is>
          <t>Terminal growth</t>
        </is>
      </c>
      <c r="C112" s="57">
        <f>Assumptions!$E$136</f>
        <v>0.03</v>
      </c>
    </row>
    <row r="113">
      <c r="B113" s="10" t="inlineStr">
        <is>
          <t>Exit multiple</t>
        </is>
      </c>
      <c r="C113" s="68">
        <f>Assumptions!$E$141</f>
        <v>25.0</v>
      </c>
    </row>
    <row r="114">
      <c r="B114" s="10" t="inlineStr">
        <is>
          <t>Sum PV of cash flows</t>
        </is>
      </c>
      <c r="C114" s="42">
        <f>SUM(E109:N109)</f>
        <v>187391.63778339853</v>
      </c>
    </row>
    <row r="115">
      <c r="B115" s="10" t="inlineStr">
        <is>
          <t>PV terminal value (Gordon)</t>
        </is>
      </c>
      <c r="C115" s="42">
        <f>N106*(1+C112)/(C111-C112)/(1+C111)^DCF!$N$6</f>
        <v>285340.44929242734</v>
      </c>
    </row>
    <row r="116">
      <c r="B116" s="10" t="inlineStr">
        <is>
          <t>PV terminal value (Exit)</t>
        </is>
      </c>
      <c r="C116" s="42">
        <f>N99*C113/(1+C111)^DCF!$N$6</f>
        <v>548836.3072274519</v>
      </c>
    </row>
  </sheetData>
  <conditionalFormatting sqref="C19:E19">
    <cfRule type="cellIs" priority="1" operator="lessThan" dxfId="2">
      <formula>0</formula>
    </cfRule>
    <cfRule type="cellIs" priority="2" operator="greaterThanOrEqual" dxfId="0">
      <formula>0</formula>
    </cfRule>
  </conditionalFormatting>
  <pageMargins left="0.75" right="0.75" top="1" bottom="1" header="0.5" footer="0.5"/>
  <pageSetup orientation="landscape" fitToWidth="1"/>
</worksheet>
</file>

<file path=xl/worksheets/sheet10.xml><?xml version="1.0" encoding="utf-8"?>
<worksheet xmlns="http://schemas.openxmlformats.org/spreadsheetml/2006/main">
  <sheetPr>
    <tabColor rgb="002B4BFF"/>
    <outlinePr summaryBelow="1" summaryRight="1"/>
    <pageSetUpPr fitToPage="1"/>
  </sheetPr>
  <dimension ref="B1:K2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4" customWidth="1" min="2" max="2"/>
    <col width="10" customWidth="1" min="3" max="3"/>
    <col width="8" customWidth="1" min="4" max="4"/>
    <col width="13" customWidth="1" min="5" max="5"/>
    <col width="13" customWidth="1" min="6" max="6"/>
    <col width="13" customWidth="1" min="7" max="7"/>
    <col width="12" customWidth="1" min="8" max="8"/>
    <col width="12" customWidth="1" min="9" max="9"/>
    <col width="12" customWidth="1" min="10" max="10"/>
    <col width="50" customWidth="1" min="11" max="11"/>
  </cols>
  <sheetData>
    <row r="1">
      <c r="B1" s="12" t="inlineStr">
        <is>
          <t>Trading Comparables</t>
        </is>
      </c>
    </row>
    <row r="2">
      <c r="B2" s="13" t="inlineStr">
        <is>
          <t>Semiconductor equipment peers, 7-8 Oct 2026 [S12]. EV and EBITDA in billions of local currency; multiples are currency-neutral.</t>
        </is>
      </c>
    </row>
    <row r="4">
      <c r="B4" s="25" t="inlineStr">
        <is>
          <t>Company</t>
        </is>
      </c>
      <c r="C4" s="26" t="inlineStr">
        <is>
          <t>Ticker</t>
        </is>
      </c>
      <c r="D4" s="26" t="inlineStr">
        <is>
          <t>Ccy</t>
        </is>
      </c>
      <c r="E4" s="26" t="inlineStr">
        <is>
          <t>EV (bn)</t>
        </is>
      </c>
      <c r="F4" s="26" t="inlineStr">
        <is>
          <t>EBITDA TTM (bn)</t>
        </is>
      </c>
      <c r="G4" s="26" t="inlineStr">
        <is>
          <t>EV / EBITDA TTM</t>
        </is>
      </c>
      <c r="H4" s="26" t="inlineStr">
        <is>
          <t>Forward P/E</t>
        </is>
      </c>
      <c r="I4" s="26" t="inlineStr">
        <is>
          <t>Gross margin</t>
        </is>
      </c>
      <c r="J4" s="26" t="inlineStr">
        <is>
          <t>Op. margin</t>
        </is>
      </c>
    </row>
    <row r="5">
      <c r="B5" s="10" t="inlineStr">
        <is>
          <t>Applied Materials</t>
        </is>
      </c>
      <c r="C5" s="10" t="inlineStr">
        <is>
          <t>AMAT</t>
        </is>
      </c>
      <c r="D5" s="11" t="inlineStr">
        <is>
          <t>USD</t>
        </is>
      </c>
      <c r="E5" s="79" t="n">
        <v>411.3</v>
      </c>
      <c r="F5" s="79" t="n">
        <v>10.16</v>
      </c>
      <c r="G5" s="44">
        <f>E5/F5</f>
        <v>40.48228346456693</v>
      </c>
      <c r="H5" s="36" t="n">
        <v>29.56</v>
      </c>
      <c r="I5" s="19" t="n">
        <v>0.494</v>
      </c>
      <c r="J5" s="19" t="n">
        <v>0.3122</v>
      </c>
    </row>
    <row r="6">
      <c r="B6" s="10" t="inlineStr">
        <is>
          <t>Lam Research</t>
        </is>
      </c>
      <c r="C6" s="10" t="inlineStr">
        <is>
          <t>LRCX</t>
        </is>
      </c>
      <c r="D6" s="11" t="inlineStr">
        <is>
          <t>USD</t>
        </is>
      </c>
      <c r="E6" s="79" t="n">
        <v>410.9</v>
      </c>
      <c r="F6" s="79" t="n">
        <v>8.640000000000001</v>
      </c>
      <c r="G6" s="44">
        <f>E6/F6</f>
        <v>47.55787037037037</v>
      </c>
      <c r="H6" s="36" t="n">
        <v>34.78</v>
      </c>
      <c r="I6" s="19" t="n">
        <v>0.5047</v>
      </c>
      <c r="J6" s="19" t="n">
        <v>0.3529</v>
      </c>
    </row>
    <row r="7">
      <c r="B7" s="10" t="inlineStr">
        <is>
          <t>KLA</t>
        </is>
      </c>
      <c r="C7" s="10" t="inlineStr">
        <is>
          <t>KLAC</t>
        </is>
      </c>
      <c r="D7" s="11" t="inlineStr">
        <is>
          <t>USD</t>
        </is>
      </c>
      <c r="E7" s="79" t="n">
        <v>258.11</v>
      </c>
      <c r="F7" s="79" t="n">
        <v>6.05</v>
      </c>
      <c r="G7" s="44">
        <f>E7/F7</f>
        <v>42.662809917355375</v>
      </c>
      <c r="H7" s="36" t="n">
        <v>36.2</v>
      </c>
      <c r="I7" s="19" t="n">
        <v>0.613</v>
      </c>
      <c r="J7" s="19" t="n">
        <v>0.4169</v>
      </c>
    </row>
    <row r="8">
      <c r="B8" s="10" t="inlineStr">
        <is>
          <t>Tokyo Electron</t>
        </is>
      </c>
      <c r="C8" s="10" t="inlineStr">
        <is>
          <t>8035.T</t>
        </is>
      </c>
      <c r="D8" s="11" t="inlineStr">
        <is>
          <t>JPY</t>
        </is>
      </c>
      <c r="E8" s="79" t="n">
        <v>27300</v>
      </c>
      <c r="F8" s="79" t="n">
        <v>778.34</v>
      </c>
      <c r="G8" s="44">
        <f>E8/F8</f>
        <v>35.07464604157566</v>
      </c>
      <c r="H8" s="36" t="n">
        <v>33.33</v>
      </c>
      <c r="I8" s="19" t="n">
        <v>0.4556</v>
      </c>
      <c r="J8" s="19" t="n">
        <v>0.2634</v>
      </c>
    </row>
    <row r="10">
      <c r="B10" s="3" t="inlineStr">
        <is>
          <t>Peer low</t>
        </is>
      </c>
      <c r="G10" s="44">
        <f>MIN(G5:G8)</f>
        <v>35.07464604157566</v>
      </c>
      <c r="H10" s="44">
        <f>MIN(H5:H8)</f>
        <v>29.56</v>
      </c>
      <c r="I10" s="46">
        <f>MIN(I5:I8)</f>
        <v>0.4556</v>
      </c>
      <c r="J10" s="46">
        <f>MIN(J5:J8)</f>
        <v>0.2634</v>
      </c>
    </row>
    <row r="11">
      <c r="B11" s="3" t="inlineStr">
        <is>
          <t>Peer median</t>
        </is>
      </c>
      <c r="G11" s="44">
        <f>MEDIAN(G5:G8)</f>
        <v>41.572546690961154</v>
      </c>
      <c r="H11" s="44">
        <f>MEDIAN(H5:H8)</f>
        <v>34.055</v>
      </c>
      <c r="I11" s="46">
        <f>MEDIAN(I5:I8)</f>
        <v>0.49935</v>
      </c>
      <c r="J11" s="46">
        <f>MEDIAN(J5:J8)</f>
        <v>0.33255</v>
      </c>
    </row>
    <row r="12">
      <c r="B12" s="3" t="inlineStr">
        <is>
          <t>Peer mean</t>
        </is>
      </c>
      <c r="G12" s="44">
        <f>AVERAGE(G5:G8)</f>
        <v>41.44440244846709</v>
      </c>
      <c r="H12" s="44">
        <f>AVERAGE(H5:H8)</f>
        <v>33.4675</v>
      </c>
      <c r="I12" s="46">
        <f>AVERAGE(I5:I8)</f>
        <v>0.516825</v>
      </c>
      <c r="J12" s="46">
        <f>AVERAGE(J5:J8)</f>
        <v>0.33635000000000004</v>
      </c>
    </row>
    <row r="13">
      <c r="B13" s="3" t="inlineStr">
        <is>
          <t>Peer high</t>
        </is>
      </c>
      <c r="G13" s="44">
        <f>MAX(G5:G8)</f>
        <v>47.55787037037037</v>
      </c>
      <c r="H13" s="44">
        <f>MAX(H5:H8)</f>
        <v>36.2</v>
      </c>
      <c r="I13" s="46">
        <f>MAX(I5:I8)</f>
        <v>0.613</v>
      </c>
      <c r="J13" s="46">
        <f>MAX(J5:J8)</f>
        <v>0.4169</v>
      </c>
    </row>
    <row r="15">
      <c r="B15" s="3" t="inlineStr">
        <is>
          <t>ASML (for reference)</t>
        </is>
      </c>
      <c r="C15" s="10" t="inlineStr">
        <is>
          <t>ASML</t>
        </is>
      </c>
      <c r="D15" s="11" t="inlineStr">
        <is>
          <t>EUR</t>
        </is>
      </c>
      <c r="E15" s="79" t="n">
        <v>607</v>
      </c>
      <c r="F15" s="79" t="n">
        <v>13.49</v>
      </c>
      <c r="G15" s="44">
        <f>E15/F15</f>
        <v>44.996293550778354</v>
      </c>
      <c r="H15" s="36" t="n">
        <v>32.93</v>
      </c>
      <c r="I15" s="19" t="n">
        <v>0.5273</v>
      </c>
      <c r="J15" s="19" t="n">
        <v>0.3542</v>
      </c>
    </row>
    <row r="16">
      <c r="B16" s="10" t="inlineStr">
        <is>
          <t>ASML 5-yr average year-end EV/EBITDA (FY21-25)</t>
        </is>
      </c>
      <c r="G16" s="68">
        <f>Historical!$C$63</f>
        <v>29.84763631631865</v>
      </c>
    </row>
    <row r="18">
      <c r="B18" s="14" t="inlineStr">
        <is>
          <t>Implied ASML value from peer EV / LTM EBITDA</t>
        </is>
      </c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</row>
    <row r="19">
      <c r="B19" s="10" t="inlineStr">
        <is>
          <t>ASML LTM EBITDA to 28 Jun 2026 (EUR m)</t>
        </is>
      </c>
      <c r="E19" s="43">
        <f>Historical!H33+Assumptions!$C$26+Assumptions!$C$27-Assumptions!$C$28-Assumptions!$C$29</f>
        <v>13549.299999999996</v>
      </c>
      <c r="K19" s="11" t="inlineStr">
        <is>
          <t>FY25 EBITDA + H1-26 - H1-25 (EBIT + D&amp;A)</t>
        </is>
      </c>
    </row>
    <row r="20">
      <c r="B20" s="25" t="n"/>
      <c r="C20" s="26" t="n"/>
      <c r="D20" s="26" t="n"/>
      <c r="E20" s="26" t="inlineStr">
        <is>
          <t>Low</t>
        </is>
      </c>
      <c r="F20" s="26" t="inlineStr">
        <is>
          <t>Median</t>
        </is>
      </c>
      <c r="G20" s="26" t="inlineStr">
        <is>
          <t>High</t>
        </is>
      </c>
    </row>
    <row r="21">
      <c r="B21" s="10" t="inlineStr">
        <is>
          <t>Peer EV / EBITDA multiple</t>
        </is>
      </c>
      <c r="E21" s="70">
        <f>G10</f>
        <v>35.07464604157566</v>
      </c>
      <c r="F21" s="70">
        <f>G11</f>
        <v>41.572546690961154</v>
      </c>
      <c r="G21" s="70">
        <f>G13</f>
        <v>47.55787037037037</v>
      </c>
    </row>
    <row r="22">
      <c r="B22" s="10" t="inlineStr">
        <is>
          <t>Implied enterprise value (EUR m)</t>
        </is>
      </c>
      <c r="E22" s="42">
        <f>E21*$E$19</f>
        <v>475236.90161112096</v>
      </c>
      <c r="F22" s="42">
        <f>F21*$E$19</f>
        <v>563278.9068798398</v>
      </c>
      <c r="G22" s="42">
        <f>G21*$E$19</f>
        <v>644375.853009259</v>
      </c>
    </row>
    <row r="23">
      <c r="B23" s="10" t="inlineStr">
        <is>
          <t>Equity value (+ cash - debt + investments)</t>
        </is>
      </c>
      <c r="E23" s="42">
        <f>E22+(DCF!$C$30-DCF!$C$31+DCF!$C$32)</f>
        <v>481431.40161112096</v>
      </c>
      <c r="F23" s="42">
        <f>F22+(DCF!$C$30-DCF!$C$31+DCF!$C$32)</f>
        <v>569473.4068798398</v>
      </c>
      <c r="G23" s="42">
        <f>G22+(DCF!$C$30-DCF!$C$31+DCF!$C$32)</f>
        <v>650570.353009259</v>
      </c>
    </row>
    <row r="24">
      <c r="B24" s="3" t="inlineStr">
        <is>
          <t>Implied share price (EUR)</t>
        </is>
      </c>
      <c r="E24" s="78">
        <f>E23/DCF!$C$34</f>
        <v>1250.7960551081346</v>
      </c>
      <c r="F24" s="78">
        <f>F23/DCF!$C$34</f>
        <v>1479.536001246661</v>
      </c>
      <c r="G24" s="78">
        <f>G23/DCF!$C$34</f>
        <v>1690.2321460360067</v>
      </c>
    </row>
    <row r="25">
      <c r="B25" s="10" t="inlineStr">
        <is>
          <t>Upside / (downside)</t>
        </is>
      </c>
      <c r="E25" s="33">
        <f>E24/Assumptions!$C$16-1</f>
        <v>-0.22378301159976755</v>
      </c>
      <c r="F25" s="33">
        <f>F24/Assumptions!$C$16-1</f>
        <v>-0.08183194660130266</v>
      </c>
      <c r="G25" s="33">
        <f>G24/Assumptions!$C$16-1</f>
        <v>0.04892152540400074</v>
      </c>
    </row>
    <row r="27">
      <c r="B27" s="11" t="inlineStr">
        <is>
          <t>Reading: peers trade on peak-cycle trailing EBITDA. On these multiples ASML looks fairly priced relative to the sector; the DCF asks whether the sector itself is priced for growth that will last.</t>
        </is>
      </c>
    </row>
  </sheetData>
  <pageMargins left="0.75" right="0.75" top="1" bottom="1" header="0.5" footer="0.5"/>
  <pageSetup orientation="landscape" fitToWidth="1"/>
</worksheet>
</file>

<file path=xl/worksheets/sheet11.xml><?xml version="1.0" encoding="utf-8"?>
<worksheet xmlns="http://schemas.openxmlformats.org/spreadsheetml/2006/main">
  <sheetPr>
    <tabColor rgb="00007A33"/>
    <outlinePr summaryBelow="1" summaryRight="1"/>
    <pageSetUpPr fitToPage="1"/>
  </sheetPr>
  <dimension ref="B1:Q3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6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</cols>
  <sheetData>
    <row r="1">
      <c r="B1" s="12" t="inlineStr">
        <is>
          <t>ASML Holding N.V. | Valuation Dashboard</t>
        </is>
      </c>
    </row>
    <row r="2">
      <c r="B2" s="13" t="inlineStr">
        <is>
          <t>Live summary of the model. Change inputs on Assumptions; everything here updates.</t>
        </is>
      </c>
    </row>
    <row r="4">
      <c r="B4" s="8" t="inlineStr">
        <is>
          <t>Valuation</t>
        </is>
      </c>
      <c r="E4" s="8" t="inlineStr">
        <is>
          <t>Model drivers</t>
        </is>
      </c>
    </row>
    <row r="5">
      <c r="B5" s="11" t="inlineStr">
        <is>
          <t>Scenario shown:</t>
        </is>
      </c>
      <c r="C5" s="3" t="str">
        <f>Assumptions!$C$9</f>
        <v>Base</v>
      </c>
    </row>
    <row r="6">
      <c r="B6" s="10" t="inlineStr">
        <is>
          <t>Current share price</t>
        </is>
      </c>
      <c r="C6" s="80">
        <f>Assumptions!$C$16</f>
        <v>1611.4</v>
      </c>
      <c r="E6" s="10" t="inlineStr">
        <is>
          <t>Enterprise value (blended, EUR m)</t>
        </is>
      </c>
      <c r="F6" s="81">
        <f>DCF!$E$28</f>
        <v>353803.131175964</v>
      </c>
    </row>
    <row r="7">
      <c r="B7" s="3" t="inlineStr">
        <is>
          <t>DCF price, blended (headline)</t>
        </is>
      </c>
      <c r="C7" s="82">
        <f>DCF!$E$35</f>
        <v>935.3017177863446</v>
      </c>
      <c r="E7" s="10" t="inlineStr">
        <is>
          <t>Equity value (blended, EUR m)</t>
        </is>
      </c>
      <c r="F7" s="81">
        <f>DCF!$E$33</f>
        <v>359997.631175964</v>
      </c>
    </row>
    <row r="8">
      <c r="B8" s="10" t="inlineStr">
        <is>
          <t>DCF price, Gordon Growth</t>
        </is>
      </c>
      <c r="C8" s="80">
        <f>DCF!$C$35</f>
        <v>758.7476024380701</v>
      </c>
      <c r="E8" s="10" t="inlineStr">
        <is>
          <t>WACC</t>
        </is>
      </c>
      <c r="F8" s="83">
        <f>WACC!$C$35</f>
        <v>0.09377981262700602</v>
      </c>
    </row>
    <row r="9">
      <c r="B9" s="10" t="inlineStr">
        <is>
          <t>DCF price, Exit Multiple</t>
        </is>
      </c>
      <c r="C9" s="80">
        <f>DCF!$D$35</f>
        <v>1111.8558331346192</v>
      </c>
      <c r="E9" s="10" t="inlineStr">
        <is>
          <t>Terminal growth rate</t>
        </is>
      </c>
      <c r="F9" s="83">
        <f>Assumptions!$E$137</f>
        <v>0.025</v>
      </c>
    </row>
    <row r="10">
      <c r="B10" s="3" t="inlineStr">
        <is>
          <t>Potential upside / (downside)</t>
        </is>
      </c>
      <c r="C10" s="84">
        <f>DCF!$E$37</f>
        <v>-0.41957197605414887</v>
      </c>
      <c r="E10" s="10" t="inlineStr">
        <is>
          <t>Exit EV/EBITDA (FY35)</t>
        </is>
      </c>
      <c r="F10" s="85">
        <f>Assumptions!$E$142</f>
        <v>20.0</v>
      </c>
    </row>
    <row r="11">
      <c r="B11" s="10" t="inlineStr">
        <is>
          <t>Bear case price (blended)</t>
        </is>
      </c>
      <c r="C11" s="80">
        <f>Scenarios!$C$18</f>
        <v>478.3057012199426</v>
      </c>
      <c r="E11" s="10" t="inlineStr">
        <is>
          <t>5-yr revenue CAGR FY25-30</t>
        </is>
      </c>
      <c r="F11" s="86">
        <f>Forecast!$C$39</f>
        <v>0.14399400423077724</v>
      </c>
    </row>
    <row r="12">
      <c r="B12" s="10" t="inlineStr">
        <is>
          <t>Base case price (blended)</t>
        </is>
      </c>
      <c r="C12" s="80">
        <f>Scenarios!$D$18</f>
        <v>935.3017177863445</v>
      </c>
      <c r="E12" s="10" t="inlineStr">
        <is>
          <t>Average EBITDA margin FY26-30</t>
        </is>
      </c>
      <c r="F12" s="86">
        <f>Forecast!$C$40</f>
        <v>0.42299999999999993</v>
      </c>
    </row>
    <row r="13">
      <c r="B13" s="10" t="inlineStr">
        <is>
          <t>Bull case price (blended)</t>
        </is>
      </c>
      <c r="C13" s="80">
        <f>Scenarios!$E$18</f>
        <v>1586.5796727548409</v>
      </c>
      <c r="E13" s="10" t="inlineStr">
        <is>
          <t>Reverse DCF: exit multiple needed</t>
        </is>
      </c>
      <c r="F13" s="85">
        <f>DCF!$D$39</f>
        <v>33.21366799669379</v>
      </c>
    </row>
    <row r="14">
      <c r="B14" s="10" t="inlineStr">
        <is>
          <t>Trading comps price (peer median)</t>
        </is>
      </c>
      <c r="C14" s="80">
        <f>Comps!$F$24</f>
        <v>1479.536001246661</v>
      </c>
      <c r="E14" s="10" t="inlineStr">
        <is>
          <t>Model checks</t>
        </is>
      </c>
      <c r="F14" s="18" t="str">
        <f>Checks!$C$4</f>
        <v>ALL PASS</v>
      </c>
    </row>
    <row r="16">
      <c r="B16" s="3" t="inlineStr">
        <is>
          <t>Verdict</t>
        </is>
      </c>
      <c r="C16" s="18" t="str">
        <f>IF(DCF!$E$37&gt;0.15,"Undervalued",IF(DCF!$E$37&lt;-0.15,"Overvalued","Fairly valued"))</f>
        <v>Overvalued</v>
      </c>
    </row>
    <row r="17">
      <c r="B17" s="11" t="inlineStr">
        <is>
          <t>Verdict band: more than +/-15% from market price (blended DCF)</t>
        </is>
      </c>
    </row>
    <row r="19">
      <c r="B19" s="8" t="inlineStr">
        <is>
          <t>Chart data (linked)</t>
        </is>
      </c>
    </row>
    <row r="20">
      <c r="B20" s="10" t="inlineStr">
        <is>
          <t>Year</t>
        </is>
      </c>
      <c r="C20" s="87" t="inlineStr">
        <is>
          <t>FY21A</t>
        </is>
      </c>
      <c r="D20" s="87" t="inlineStr">
        <is>
          <t>FY22A</t>
        </is>
      </c>
      <c r="E20" s="87" t="inlineStr">
        <is>
          <t>FY23A</t>
        </is>
      </c>
      <c r="F20" s="87" t="inlineStr">
        <is>
          <t>FY24A</t>
        </is>
      </c>
      <c r="G20" s="87" t="inlineStr">
        <is>
          <t>FY25A</t>
        </is>
      </c>
      <c r="H20" s="87" t="inlineStr">
        <is>
          <t>FY26E</t>
        </is>
      </c>
      <c r="I20" s="87" t="inlineStr">
        <is>
          <t>FY27E</t>
        </is>
      </c>
      <c r="J20" s="87" t="inlineStr">
        <is>
          <t>FY28E</t>
        </is>
      </c>
      <c r="K20" s="87" t="inlineStr">
        <is>
          <t>FY29E</t>
        </is>
      </c>
      <c r="L20" s="87" t="inlineStr">
        <is>
          <t>FY30E</t>
        </is>
      </c>
      <c r="M20" s="87" t="inlineStr">
        <is>
          <t>FY31E</t>
        </is>
      </c>
      <c r="N20" s="87" t="inlineStr">
        <is>
          <t>FY32E</t>
        </is>
      </c>
      <c r="O20" s="87" t="inlineStr">
        <is>
          <t>FY33E</t>
        </is>
      </c>
      <c r="P20" s="87" t="inlineStr">
        <is>
          <t>FY34E</t>
        </is>
      </c>
      <c r="Q20" s="87" t="inlineStr">
        <is>
          <t>FY35E</t>
        </is>
      </c>
    </row>
    <row r="21">
      <c r="B21" s="10" t="inlineStr">
        <is>
          <t>Revenue (EUR m)</t>
        </is>
      </c>
      <c r="C21" s="50">
        <f>Forecast!C8</f>
        <v>18611.0</v>
      </c>
      <c r="D21" s="50">
        <f>Forecast!D8</f>
        <v>21173.4</v>
      </c>
      <c r="E21" s="50">
        <f>Forecast!E8</f>
        <v>27558.5</v>
      </c>
      <c r="F21" s="50">
        <f>Forecast!F8</f>
        <v>28262.9</v>
      </c>
      <c r="G21" s="50">
        <f>Forecast!G8</f>
        <v>32667.3</v>
      </c>
      <c r="H21" s="50">
        <f>Forecast!H8</f>
        <v>43931.02</v>
      </c>
      <c r="I21" s="50">
        <f>Forecast!I8</f>
        <v>50468.08</v>
      </c>
      <c r="J21" s="50">
        <f>Forecast!J8</f>
        <v>56293.058560000005</v>
      </c>
      <c r="K21" s="50">
        <f>Forecast!K8</f>
        <v>60408.3442496</v>
      </c>
      <c r="L21" s="50">
        <f>Forecast!L8</f>
        <v>64007.664692160004</v>
      </c>
      <c r="M21" s="50">
        <f>Forecast!M8</f>
        <v>67378.72649747752</v>
      </c>
      <c r="N21" s="50">
        <f>Forecast!N8</f>
        <v>70461.29649624792</v>
      </c>
      <c r="O21" s="50">
        <f>Forecast!O8</f>
        <v>73197.53881233593</v>
      </c>
      <c r="P21" s="50">
        <f>Forecast!P8</f>
        <v>75533.75781928842</v>
      </c>
      <c r="Q21" s="50">
        <f>Forecast!Q8</f>
        <v>77422.10176477063</v>
      </c>
    </row>
    <row r="22">
      <c r="B22" s="10" t="inlineStr">
        <is>
          <t>EBITDA margin</t>
        </is>
      </c>
      <c r="C22" s="51">
        <f>Forecast!C15</f>
        <v>0.38800171941325023</v>
      </c>
      <c r="D22" s="51">
        <f>Forecast!D15</f>
        <v>0.3345849036999254</v>
      </c>
      <c r="E22" s="51">
        <f>Forecast!E15</f>
        <v>0.3549576355752308</v>
      </c>
      <c r="F22" s="51">
        <f>Forecast!F15</f>
        <v>0.35174026727618185</v>
      </c>
      <c r="G22" s="51">
        <f>Forecast!G15</f>
        <v>0.3773590103865333</v>
      </c>
      <c r="H22" s="51">
        <f>Forecast!H15</f>
        <v>0.41</v>
      </c>
      <c r="I22" s="51">
        <f>Forecast!I15</f>
        <v>0.42</v>
      </c>
      <c r="J22" s="51">
        <f>Forecast!J15</f>
        <v>0.425</v>
      </c>
      <c r="K22" s="51">
        <f>Forecast!K15</f>
        <v>0.43</v>
      </c>
      <c r="L22" s="51">
        <f>Forecast!L15</f>
        <v>0.43</v>
      </c>
      <c r="M22" s="51">
        <f>Forecast!M15</f>
        <v>0.43</v>
      </c>
      <c r="N22" s="51">
        <f>Forecast!N15</f>
        <v>0.43</v>
      </c>
      <c r="O22" s="51">
        <f>Forecast!O15</f>
        <v>0.43</v>
      </c>
      <c r="P22" s="51">
        <f>Forecast!P15</f>
        <v>0.43</v>
      </c>
      <c r="Q22" s="51">
        <f>Forecast!Q15</f>
        <v>0.43</v>
      </c>
    </row>
    <row r="23">
      <c r="B23" s="10" t="inlineStr">
        <is>
          <t>Unlevered FCF (EUR m)</t>
        </is>
      </c>
      <c r="C23" s="50">
        <f>Forecast!C34</f>
        <v>10017.706406681078</v>
      </c>
      <c r="D23" s="50">
        <f>Forecast!D34</f>
        <v>7192.099741329903</v>
      </c>
      <c r="E23" s="50">
        <f>Forecast!E34</f>
        <v>3054.5123531678355</v>
      </c>
      <c r="F23" s="50">
        <f>Forecast!F34</f>
        <v>9135.279983190305</v>
      </c>
      <c r="G23" s="50">
        <f>Forecast!G34</f>
        <v>10950.981600196383</v>
      </c>
      <c r="H23" s="50">
        <f>Forecast!H34</f>
        <v>9010.245812999998</v>
      </c>
      <c r="I23" s="50">
        <f>Forecast!I34</f>
        <v>15743.186112000001</v>
      </c>
      <c r="J23" s="50">
        <f>Forecast!J34</f>
        <v>17616.468850944002</v>
      </c>
      <c r="K23" s="50">
        <f>Forecast!K34</f>
        <v>18897.236358392638</v>
      </c>
      <c r="L23" s="50">
        <f>Forecast!L34</f>
        <v>19931.853501573743</v>
      </c>
      <c r="M23" s="50">
        <f>Forecast!M34</f>
        <v>20931.456444094627</v>
      </c>
      <c r="N23" s="50">
        <f>Forecast!N34</f>
        <v>21835.942377434378</v>
      </c>
      <c r="O23" s="50">
        <f>Forecast!O34</f>
        <v>22627.9792771087</v>
      </c>
      <c r="P23" s="50">
        <f>Forecast!P34</f>
        <v>23291.705600480516</v>
      </c>
      <c r="Q23" s="50">
        <f>Forecast!Q34</f>
        <v>23813.244576095243</v>
      </c>
    </row>
    <row r="25">
      <c r="B25" s="3" t="inlineStr">
        <is>
          <t>Revenue build (EUR m)</t>
        </is>
      </c>
      <c r="C25" s="87" t="inlineStr">
        <is>
          <t>FY25A</t>
        </is>
      </c>
      <c r="D25" s="87" t="inlineStr">
        <is>
          <t>FY26E</t>
        </is>
      </c>
      <c r="E25" s="87" t="inlineStr">
        <is>
          <t>FY27E</t>
        </is>
      </c>
      <c r="F25" s="87" t="inlineStr">
        <is>
          <t>FY28E</t>
        </is>
      </c>
      <c r="G25" s="87" t="inlineStr">
        <is>
          <t>FY29E</t>
        </is>
      </c>
      <c r="H25" s="87" t="inlineStr">
        <is>
          <t>FY30E</t>
        </is>
      </c>
    </row>
    <row r="26">
      <c r="B26" s="10" t="inlineStr">
        <is>
          <t>EUV (low-NA + High-NA)</t>
        </is>
      </c>
      <c r="C26" s="50">
        <f>'Revenue Build'!C10+'Revenue Build'!C15</f>
        <v>11602.699999999999</v>
      </c>
      <c r="D26" s="50">
        <f>'Revenue Build'!D10+'Revenue Build'!D15</f>
        <v>19375.0</v>
      </c>
      <c r="E26" s="50">
        <f>'Revenue Build'!E10+'Revenue Build'!E15</f>
        <v>23100.0</v>
      </c>
      <c r="F26" s="50">
        <f>'Revenue Build'!F10+'Revenue Build'!F15</f>
        <v>26910.0</v>
      </c>
      <c r="G26" s="50">
        <f>'Revenue Build'!G10+'Revenue Build'!G15</f>
        <v>30060.0</v>
      </c>
      <c r="H26" s="50">
        <f>'Revenue Build'!H10+'Revenue Build'!H15</f>
        <v>32780.0</v>
      </c>
    </row>
    <row r="27">
      <c r="B27" s="10" t="inlineStr">
        <is>
          <t>DUV (immersion + other)</t>
        </is>
      </c>
      <c r="C27" s="50">
        <f>'Revenue Build'!C20+'Revenue Build'!C24</f>
        <v>12047.0</v>
      </c>
      <c r="D27" s="50">
        <f>'Revenue Build'!D20+'Revenue Build'!D24</f>
        <v>12915.6</v>
      </c>
      <c r="E27" s="50">
        <f>'Revenue Build'!E20+'Revenue Build'!E24</f>
        <v>14350.6</v>
      </c>
      <c r="F27" s="50">
        <f>'Revenue Build'!F20+'Revenue Build'!F24</f>
        <v>15085.6</v>
      </c>
      <c r="G27" s="50">
        <f>'Revenue Build'!G20+'Revenue Build'!G24</f>
        <v>14930.6</v>
      </c>
      <c r="H27" s="50">
        <f>'Revenue Build'!H20+'Revenue Build'!H24</f>
        <v>14755.6</v>
      </c>
    </row>
    <row r="28">
      <c r="B28" s="10" t="inlineStr">
        <is>
          <t>Metrology &amp; inspection</t>
        </is>
      </c>
      <c r="C28" s="50">
        <f>'Revenue Build'!C26</f>
        <v>824.6</v>
      </c>
      <c r="D28" s="50">
        <f>'Revenue Build'!D26</f>
        <v>989.52</v>
      </c>
      <c r="E28" s="50">
        <f>'Revenue Build'!E26</f>
        <v>1088.472</v>
      </c>
      <c r="F28" s="50">
        <f>'Revenue Build'!F26</f>
        <v>1175.54976</v>
      </c>
      <c r="G28" s="50">
        <f>'Revenue Build'!G26</f>
        <v>1246.0827456000002</v>
      </c>
      <c r="H28" s="50">
        <f>'Revenue Build'!H26</f>
        <v>1308.3868828800003</v>
      </c>
    </row>
    <row r="29">
      <c r="B29" s="10" t="inlineStr">
        <is>
          <t>Installed base</t>
        </is>
      </c>
      <c r="C29" s="50">
        <f>'Revenue Build'!C28</f>
        <v>8193.0</v>
      </c>
      <c r="D29" s="50">
        <f>'Revenue Build'!D28</f>
        <v>10650.9</v>
      </c>
      <c r="E29" s="50">
        <f>'Revenue Build'!E28</f>
        <v>11929.008000000002</v>
      </c>
      <c r="F29" s="50">
        <f>'Revenue Build'!F28</f>
        <v>13121.908800000003</v>
      </c>
      <c r="G29" s="50">
        <f>'Revenue Build'!G28</f>
        <v>14171.661504000003</v>
      </c>
      <c r="H29" s="50">
        <f>'Revenue Build'!H28</f>
        <v>15163.677809280005</v>
      </c>
    </row>
    <row r="32">
      <c r="B32" s="3" t="inlineStr">
        <is>
          <t>Football field (EUR / share)</t>
        </is>
      </c>
      <c r="C32" s="87" t="inlineStr">
        <is>
          <t>Low</t>
        </is>
      </c>
      <c r="D32" s="3" t="inlineStr"/>
      <c r="E32" s="3" t="inlineStr">
        <is>
          <t>Range (high - low)</t>
        </is>
      </c>
      <c r="F32" s="87" t="inlineStr">
        <is>
          <t>High</t>
        </is>
      </c>
    </row>
    <row r="33">
      <c r="B33" s="10" t="inlineStr">
        <is>
          <t>52-week trading range</t>
        </is>
      </c>
      <c r="C33" s="88">
        <f>Assumptions!$C$22</f>
        <v>813.9</v>
      </c>
      <c r="E33" s="89">
        <f>F33-C33</f>
        <v>907.5000000000001</v>
      </c>
      <c r="F33" s="88">
        <f>Assumptions!$C$23</f>
        <v>1721.4</v>
      </c>
    </row>
    <row r="34">
      <c r="B34" s="10" t="inlineStr">
        <is>
          <t>Trading comps (peer EV/EBITDA)</t>
        </is>
      </c>
      <c r="C34" s="88">
        <f>Comps!$E$24</f>
        <v>1250.7960551081346</v>
      </c>
      <c r="E34" s="89">
        <f>F34-C34</f>
        <v>439.4360909278721</v>
      </c>
      <c r="F34" s="88">
        <f>Comps!$G$24</f>
        <v>1690.2321460360067</v>
      </c>
    </row>
    <row r="35">
      <c r="B35" s="10" t="inlineStr">
        <is>
          <t>DCF, Exit Multiple (WACC +/-0.5%, +/-2x)</t>
        </is>
      </c>
      <c r="C35" s="88">
        <f>MIN(Sensitivity!$F$23:$H$25)</f>
        <v>1001.8723942212772</v>
      </c>
      <c r="E35" s="89">
        <f>F35-C35</f>
        <v>228.04734502954477</v>
      </c>
      <c r="F35" s="88">
        <f>MAX(Sensitivity!$F$23:$H$25)</f>
        <v>1229.919739250822</v>
      </c>
    </row>
    <row r="36">
      <c r="B36" s="10" t="inlineStr">
        <is>
          <t>DCF, Gordon Growth (WACC +/-0.5%, g +/-0.25%)</t>
        </is>
      </c>
      <c r="C36" s="88">
        <f>MIN(Sensitivity!$F$10:$H$12)</f>
        <v>696.9781481999086</v>
      </c>
      <c r="E36" s="89">
        <f>F36-C36</f>
        <v>138.30228335860966</v>
      </c>
      <c r="F36" s="88">
        <f>MAX(Sensitivity!$F$10:$H$12)</f>
        <v>835.2804315585182</v>
      </c>
    </row>
    <row r="37">
      <c r="B37" s="10" t="inlineStr">
        <is>
          <t>Scenarios (Bear to Bull, blended)</t>
        </is>
      </c>
      <c r="C37" s="88">
        <f>Scenarios!$C$18</f>
        <v>478.3057012199426</v>
      </c>
      <c r="E37" s="89">
        <f>F37-C37</f>
        <v>1108.2739715348982</v>
      </c>
      <c r="F37" s="88">
        <f>Scenarios!$E$18</f>
        <v>1586.5796727548409</v>
      </c>
    </row>
    <row r="39">
      <c r="B39" s="3" t="inlineStr">
        <is>
          <t>Current market price</t>
        </is>
      </c>
      <c r="C39" s="88">
        <f>Assumptions!$C$16</f>
        <v>1611.4</v>
      </c>
    </row>
  </sheetData>
  <conditionalFormatting sqref="C10">
    <cfRule type="cellIs" priority="1" operator="lessThan" dxfId="2">
      <formula>0</formula>
    </cfRule>
    <cfRule type="cellIs" priority="2" operator="greaterThanOrEqual" dxfId="0">
      <formula>0</formula>
    </cfRule>
  </conditionalFormatting>
  <conditionalFormatting sqref="F14">
    <cfRule type="expression" priority="3" dxfId="0">
      <formula>$F$14="ALL PASS"</formula>
    </cfRule>
    <cfRule type="expression" priority="4" dxfId="2">
      <formula>$F$14&lt;&gt;"ALL PASS"</formula>
    </cfRule>
  </conditionalFormatting>
  <pageMargins left="0.75" right="0.75" top="1" bottom="1" header="0.5" footer="0.5"/>
  <pageSetup orientation="landscape" fitToWidth="1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tabColor rgb="00C00000"/>
    <outlinePr summaryBelow="1" summaryRight="1"/>
    <pageSetUpPr fitToPage="1"/>
  </sheetPr>
  <dimension ref="B1:E3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64" customWidth="1" min="2" max="2"/>
    <col width="16" customWidth="1" min="3" max="3"/>
    <col width="12" customWidth="1" min="4" max="4"/>
    <col width="72" customWidth="1" min="5" max="5"/>
  </cols>
  <sheetData>
    <row r="1">
      <c r="B1" s="12" t="inlineStr">
        <is>
          <t>Model Integrity Checks</t>
        </is>
      </c>
    </row>
    <row r="2">
      <c r="B2" s="13" t="inlineStr">
        <is>
          <t>Automatic tests. PASS = test met; CHECK = review the inputs. INFO = reported for judgement, not a pass/fail test.</t>
        </is>
      </c>
    </row>
    <row r="4">
      <c r="B4" s="3" t="inlineStr">
        <is>
          <t>Overall status</t>
        </is>
      </c>
      <c r="C4" s="90" t="str">
        <f>IF(COUNTIF(D7:D36,"CHECK")=0,"ALL PASS","REVIEW")</f>
        <v>ALL PASS</v>
      </c>
    </row>
    <row r="6">
      <c r="B6" s="25" t="inlineStr">
        <is>
          <t>Test</t>
        </is>
      </c>
      <c r="C6" s="26" t="inlineStr">
        <is>
          <t>Value</t>
        </is>
      </c>
      <c r="D6" s="26" t="inlineStr">
        <is>
          <t>Status</t>
        </is>
      </c>
      <c r="E6" s="26" t="inlineStr">
        <is>
          <t>What it guards against</t>
        </is>
      </c>
    </row>
    <row r="7">
      <c r="B7" s="10" t="inlineStr">
        <is>
          <t>WACC &gt; terminal growth (live)</t>
        </is>
      </c>
      <c r="C7" s="91">
        <f>WACC!$C$35-Assumptions!$E$137</f>
        <v>0.06877981262700603</v>
      </c>
      <c r="D7" s="87" t="str">
        <f>IF(C7&gt;0,"PASS","CHECK")</f>
        <v>PASS</v>
      </c>
      <c r="E7" s="11" t="inlineStr">
        <is>
          <t>Gordon formula explodes / turns negative if g &gt;= WACC</t>
        </is>
      </c>
    </row>
    <row r="8">
      <c r="B8" s="10" t="inlineStr">
        <is>
          <t>WACC &gt; terminal growth in every scenario</t>
        </is>
      </c>
      <c r="C8" s="91">
        <f>MIN(Scenarios!$C$9-Scenarios!$C$10,Scenarios!$D$9-Scenarios!$D$10,Scenarios!$E$9-Scenarios!$E$10)</f>
        <v>0.05877981262700602</v>
      </c>
      <c r="D8" s="87" t="str">
        <f>IF(C8&gt;0,"PASS","CHECK")</f>
        <v>PASS</v>
      </c>
      <c r="E8" s="11" t="inlineStr">
        <is>
          <t>Same test for Bear / Base / Bull</t>
        </is>
      </c>
    </row>
    <row r="9">
      <c r="B9" s="10" t="inlineStr">
        <is>
          <t>Revenue build FY26 within 2026 guidance (EUR 43-45bn)</t>
        </is>
      </c>
      <c r="C9" s="92">
        <f>'Revenue Build'!$D$32</f>
        <v>43931.02</v>
      </c>
      <c r="D9" s="87" t="str">
        <f>IF(AND(C9&gt;=Assumptions!$C$53,C9&lt;=Assumptions!$C$54),"PASS","CHECK")</f>
        <v>PASS</v>
      </c>
      <c r="E9" s="11" t="inlineStr">
        <is>
          <t>Forecast anchored to company guidance</t>
        </is>
      </c>
    </row>
    <row r="10">
      <c r="B10" s="10" t="inlineStr">
        <is>
          <t>Low-NA EUV units within stated capacity FY26-28</t>
        </is>
      </c>
      <c r="C10" s="93">
        <f>MAX('Revenue Build'!D39:F39)</f>
        <v>1.0</v>
      </c>
      <c r="D10" s="87" t="str">
        <f>IF(C10&lt;=1,"PASS","CHECK")</f>
        <v>PASS</v>
      </c>
      <c r="E10" s="11" t="inlineStr">
        <is>
          <t>Units cannot exceed announced capacity</t>
        </is>
      </c>
    </row>
    <row r="11">
      <c r="B11" s="10" t="inlineStr">
        <is>
          <t>DUV immersion units within stated capacity FY26-28</t>
        </is>
      </c>
      <c r="C11" s="93">
        <f>MAX('Revenue Build'!D41:F41)</f>
        <v>1.0</v>
      </c>
      <c r="D11" s="87" t="str">
        <f>IF(C11&lt;=1,"PASS","CHECK")</f>
        <v>PASS</v>
      </c>
      <c r="E11" s="11" t="inlineStr"/>
    </row>
    <row r="12">
      <c r="B12" s="10" t="inlineStr">
        <is>
          <t>Revenue build total = Forecast revenue (FY26-30)</t>
        </is>
      </c>
      <c r="C12" s="94">
        <f>SUMPRODUCT(ABS('Revenue Build'!D32:H32-Forecast!H8:L8))</f>
        <v>0.0</v>
      </c>
      <c r="D12" s="87" t="str">
        <f>IF(C12&lt;0.01,"PASS","CHECK")</f>
        <v>PASS</v>
      </c>
      <c r="E12" s="11" t="inlineStr">
        <is>
          <t>Linkage integrity</t>
        </is>
      </c>
    </row>
    <row r="13">
      <c r="B13" s="10" t="inlineStr">
        <is>
          <t>Fade ends at terminal growth (FY35 growth = g)</t>
        </is>
      </c>
      <c r="C13" s="91">
        <f>Forecast!Q9-Assumptions!$E$137</f>
        <v>0.0</v>
      </c>
      <c r="D13" s="87" t="str">
        <f>IF(ABS(C13)&lt;0.000001,"PASS","CHECK")</f>
        <v>PASS</v>
      </c>
      <c r="E13" s="11" t="inlineStr">
        <is>
          <t>No growth cliff between the fade period and the perpetuity</t>
        </is>
      </c>
    </row>
    <row r="14">
      <c r="B14" s="10" t="inlineStr">
        <is>
          <t>EV reconciles: EV - (sum PV FCF + PV TV), Gordon</t>
        </is>
      </c>
      <c r="C14" s="94">
        <f>DCF!$C$28-(SUMPRODUCT(DCF!E11:N11,DCF!E13:N13)+DCF!C26)</f>
        <v>0.0</v>
      </c>
      <c r="D14" s="87" t="str">
        <f>IF(ABS(C14)&lt;0.01,"PASS","CHECK")</f>
        <v>PASS</v>
      </c>
      <c r="E14" s="11" t="inlineStr">
        <is>
          <t>Independent recomputation of EV</t>
        </is>
      </c>
    </row>
    <row r="15">
      <c r="B15" s="10" t="inlineStr">
        <is>
          <t>EV reconciles, Exit</t>
        </is>
      </c>
      <c r="C15" s="94">
        <f>DCF!$D$28-(SUMPRODUCT(DCF!E11:N11,DCF!E13:N13)+DCF!D26)</f>
        <v>0.0</v>
      </c>
      <c r="D15" s="87" t="str">
        <f>IF(ABS(C15)&lt;0.01,"PASS","CHECK")</f>
        <v>PASS</v>
      </c>
      <c r="E15" s="11" t="inlineStr"/>
    </row>
    <row r="16">
      <c r="B16" s="10" t="inlineStr">
        <is>
          <t>Equity bridge: equity - (EV + cash - debt + investments)</t>
        </is>
      </c>
      <c r="C16" s="94">
        <f>DCF!$C$33-(DCF!$C$28+Assumptions!$C$18-Assumptions!$C$19+Assumptions!$C$20)</f>
        <v>0.0</v>
      </c>
      <c r="D16" s="87" t="str">
        <f>IF(ABS(C16)&lt;0.01,"PASS","CHECK")</f>
        <v>PASS</v>
      </c>
      <c r="E16" s="11" t="inlineStr">
        <is>
          <t>Bridge items applied once with correct signs</t>
        </is>
      </c>
    </row>
    <row r="17">
      <c r="B17" s="10" t="inlineStr">
        <is>
          <t>Forecast UFCF = NOPAT + D&amp;A - CapEx - change in NWC (FY26-35)</t>
        </is>
      </c>
      <c r="C17" s="94">
        <f>SUMPRODUCT(ABS(Forecast!H34:Q34-(Forecast!H25:Q25+Forecast!H17:Q17-Forecast!H27:Q27-Forecast!H32:Q32)))</f>
        <v>0.0</v>
      </c>
      <c r="D17" s="87" t="str">
        <f>IF(C17&lt;0.01,"PASS","CHECK")</f>
        <v>PASS</v>
      </c>
      <c r="E17" s="11" t="inlineStr">
        <is>
          <t>Formula consistency across forecast years</t>
        </is>
      </c>
    </row>
    <row r="18">
      <c r="B18" s="10" t="inlineStr">
        <is>
          <t>Historical gross profit ties to sales - COGS</t>
        </is>
      </c>
      <c r="C18" s="94">
        <f>SUMPRODUCT(ABS(Historical!D54:H54))</f>
        <v>3.637978807091713e-12</v>
      </c>
      <c r="D18" s="87" t="str">
        <f>IF(C18&lt;0.5,"PASS","CHECK")</f>
        <v>PASS</v>
      </c>
      <c r="E18" s="11" t="inlineStr">
        <is>
          <t>Data entry errors in reported figures</t>
        </is>
      </c>
    </row>
    <row r="19">
      <c r="B19" s="10" t="inlineStr">
        <is>
          <t>Forecast EBITDA margin &lt; gross margin (all years)</t>
        </is>
      </c>
      <c r="C19" s="95">
        <f>SUMPRODUCT(--(Forecast!H15:Q15&gt;=Forecast!H12:Q12))</f>
        <v>0.0</v>
      </c>
      <c r="D19" s="87" t="str">
        <f>IF(C19=0,"PASS","CHECK")</f>
        <v>PASS</v>
      </c>
      <c r="E19" s="11" t="inlineStr">
        <is>
          <t>Opex cannot be negative</t>
        </is>
      </c>
    </row>
    <row r="20">
      <c r="B20" s="10" t="inlineStr">
        <is>
          <t>EBITDA margins between 25% and 55% (economic realism)</t>
        </is>
      </c>
      <c r="C20" s="95">
        <f>SUMPRODUCT((Forecast!H15:Q15&lt;0.25)+(Forecast!H15:Q15&gt;0.55))</f>
        <v>0.0</v>
      </c>
      <c r="D20" s="87" t="str">
        <f>IF(C20=0,"PASS","CHECK")</f>
        <v>PASS</v>
      </c>
      <c r="E20" s="11" t="inlineStr">
        <is>
          <t>Outside ASML's FY21-25 range of 34-39% plus headroom</t>
        </is>
      </c>
    </row>
    <row r="21">
      <c r="B21" s="10" t="inlineStr">
        <is>
          <t>Implied opex % within 10-25% of revenue</t>
        </is>
      </c>
      <c r="C21" s="95">
        <f>SUMPRODUCT((Forecast!H37:Q37&lt;0.10)+(Forecast!H37:Q37&gt;0.25))</f>
        <v>0.0</v>
      </c>
      <c r="D21" s="87" t="str">
        <f>IF(C21=0,"PASS","CHECK")</f>
        <v>PASS</v>
      </c>
      <c r="E21" s="11" t="inlineStr">
        <is>
          <t>Gross margin and EBITDA margin assumptions are mutually consistent</t>
        </is>
      </c>
    </row>
    <row r="22">
      <c r="B22" s="10" t="inlineStr">
        <is>
          <t>Terminal value share of EV (Gordon) below 75%</t>
        </is>
      </c>
      <c r="C22" s="93">
        <f>DCF!C29</f>
        <v>0.5426403997742691</v>
      </c>
      <c r="D22" s="87" t="str">
        <f>IF(C22&lt;0.75,"PASS","CHECK")</f>
        <v>PASS</v>
      </c>
      <c r="E22" s="11" t="inlineStr">
        <is>
          <t>The 10-year horizon keeps value from being dominated by the perpetuity</t>
        </is>
      </c>
    </row>
    <row r="23">
      <c r="B23" s="10" t="inlineStr">
        <is>
          <t>Terminal value share of EV (Exit)</t>
        </is>
      </c>
      <c r="C23" s="93">
        <f>DCF!D29</f>
        <v>0.690024077030952</v>
      </c>
      <c r="D23" s="87" t="str">
        <f>"INFO"</f>
        <v>INFO</v>
      </c>
      <c r="E23" s="11" t="inlineStr">
        <is>
          <t>Higher by construction; see sensitivity</t>
        </is>
      </c>
    </row>
    <row r="24">
      <c r="B24" s="10" t="inlineStr">
        <is>
          <t>Capital structure weights sum to 100%</t>
        </is>
      </c>
      <c r="C24" s="91">
        <f>WACC!C29+WACC!C30-1</f>
        <v>0.0</v>
      </c>
      <c r="D24" s="87" t="str">
        <f>IF(ABS(C24)&lt;0.000001,"PASS","CHECK")</f>
        <v>PASS</v>
      </c>
      <c r="E24" s="11" t="inlineStr"/>
    </row>
    <row r="25">
      <c r="B25" s="10" t="inlineStr">
        <is>
          <t>Sensitivity table 1 centre = DCF Gordon price</t>
        </is>
      </c>
      <c r="C25" s="96">
        <f>Sensitivity!$G$11-DCF!$C$35</f>
        <v>0.0</v>
      </c>
      <c r="D25" s="87" t="str">
        <f>IF(ABS(C25)&lt;0.01,"PASS","CHECK")</f>
        <v>PASS</v>
      </c>
      <c r="E25" s="11" t="inlineStr">
        <is>
          <t>Closed-form grid formula matches the full DCF</t>
        </is>
      </c>
    </row>
    <row r="26">
      <c r="B26" s="10" t="inlineStr">
        <is>
          <t>Sensitivity table 2 centre = DCF Exit price</t>
        </is>
      </c>
      <c r="C26" s="96">
        <f>Sensitivity!$G$24-DCF!$D$35</f>
        <v>0.0</v>
      </c>
      <c r="D26" s="87" t="str">
        <f>IF(ABS(C26)&lt;0.01,"PASS","CHECK")</f>
        <v>PASS</v>
      </c>
      <c r="E26" s="11" t="inlineStr"/>
    </row>
    <row r="27">
      <c r="B27" s="10" t="inlineStr">
        <is>
          <t>Sensitivity table 3 centre = DCF blended price</t>
        </is>
      </c>
      <c r="C27" s="96">
        <f>Sensitivity!$G$38-DCF!$E$35</f>
        <v>0.0</v>
      </c>
      <c r="D27" s="87" t="str">
        <f>IF(ABS(C27)&lt;0.01,"PASS","CHECK")</f>
        <v>PASS</v>
      </c>
      <c r="E27" s="11" t="inlineStr"/>
    </row>
    <row r="28">
      <c r="B28" s="10" t="inlineStr">
        <is>
          <t>Selected scenario on Scenarios tab = main DCF (blended price)</t>
        </is>
      </c>
      <c r="C28" s="96">
        <f>CHOOSE(Assumptions!$C$8,Scenarios!$C$18,Scenarios!$D$18,Scenarios!$E$18)-DCF!$E$35</f>
        <v>-1.1368683772161603e-13</v>
      </c>
      <c r="D28" s="87" t="str">
        <f>IF(ABS(C28)&lt;0.01,"PASS","CHECK")</f>
        <v>PASS</v>
      </c>
      <c r="E28" s="11" t="inlineStr">
        <is>
          <t>Scenario engine and main model use identical logic</t>
        </is>
      </c>
    </row>
    <row r="29">
      <c r="B29" s="10" t="inlineStr">
        <is>
          <t>Scenario ordering: Bear &lt; Base &lt; Bull</t>
        </is>
      </c>
      <c r="C29" s="97" t="b">
        <f>AND(Scenarios!$C$18&lt;Scenarios!$D$18,Scenarios!$D$18&lt;Scenarios!$E$18)</f>
        <v>1</v>
      </c>
      <c r="D29" s="87" t="str">
        <f>IF(C29,"PASS","CHECK")</f>
        <v>PASS</v>
      </c>
      <c r="E29" s="11" t="inlineStr">
        <is>
          <t>Output moves logically with assumptions</t>
        </is>
      </c>
    </row>
    <row r="30">
      <c r="B30" s="10" t="inlineStr">
        <is>
          <t>Price falls when WACC rises (sensitivity row monotonic)</t>
        </is>
      </c>
      <c r="C30" s="97" t="b">
        <f>AND(Sensitivity!C11&gt;Sensitivity!G11,Sensitivity!G11&gt;Sensitivity!K11)</f>
        <v>1</v>
      </c>
      <c r="D30" s="87" t="str">
        <f>IF(C30,"PASS","CHECK")</f>
        <v>PASS</v>
      </c>
      <c r="E30" s="11" t="inlineStr">
        <is>
          <t>Direction of WACC effect</t>
        </is>
      </c>
    </row>
    <row r="31">
      <c r="B31" s="10" t="inlineStr">
        <is>
          <t>Price rises with terminal growth (sensitivity column monotonic)</t>
        </is>
      </c>
      <c r="C31" s="97" t="b">
        <f>AND(Sensitivity!G7&lt;Sensitivity!G11,Sensitivity!G11&lt;Sensitivity!G15)</f>
        <v>1</v>
      </c>
      <c r="D31" s="87" t="str">
        <f>IF(C31,"PASS","CHECK")</f>
        <v>PASS</v>
      </c>
      <c r="E31" s="11" t="inlineStr">
        <is>
          <t>Direction of g effect</t>
        </is>
      </c>
    </row>
    <row r="32">
      <c r="B32" s="10" t="inlineStr">
        <is>
          <t>No double counting: FY26 cash flow excludes H1 actual (stub)</t>
        </is>
      </c>
      <c r="C32" s="94">
        <f>DCF!E11-(DCF!E9-Assumptions!$C$21)</f>
        <v>0.0</v>
      </c>
      <c r="D32" s="87" t="str">
        <f>IF(ABS(C32)&lt;0.01,"PASS","CHECK")</f>
        <v>PASS</v>
      </c>
      <c r="E32" s="11" t="inlineStr">
        <is>
          <t>H1-26 cash flows sit in the 28-Jun cash balance</t>
        </is>
      </c>
    </row>
    <row r="33">
      <c r="B33" s="10" t="inlineStr">
        <is>
          <t>Balance-sheet date precedes valuation date</t>
        </is>
      </c>
      <c r="C33" s="95">
        <f>Assumptions!$C$5-Assumptions!$C$6</f>
        <v>101.0</v>
      </c>
      <c r="D33" s="87" t="str">
        <f>IF(C33&gt;0,"PASS","CHECK")</f>
        <v>PASS</v>
      </c>
      <c r="E33" s="11" t="inlineStr"/>
    </row>
    <row r="34">
      <c r="B34" s="10" t="inlineStr">
        <is>
          <t>Exit multiple below ASML's 5-yr average and peer median</t>
        </is>
      </c>
      <c r="C34" s="98">
        <f>Assumptions!$E$142</f>
        <v>20.0</v>
      </c>
      <c r="D34" s="87" t="str">
        <f>IF(AND(C34&lt;=Historical!$C$63,C34&lt;=Comps!$G$11),"PASS","CHECK")</f>
        <v>PASS</v>
      </c>
      <c r="E34" s="11" t="inlineStr">
        <is>
          <t>Terminal multiple for a mature 2035 business should not exceed today's growth multiples</t>
        </is>
      </c>
    </row>
    <row r="35">
      <c r="B35" s="10" t="inlineStr">
        <is>
          <t>Gordon implied exit multiple (for judgement)</t>
        </is>
      </c>
      <c r="C35" s="98">
        <f>DCF!C38</f>
        <v>10.65977497725135</v>
      </c>
      <c r="D35" s="87" t="str">
        <f>"INFO"</f>
        <v>INFO</v>
      </c>
      <c r="E35" s="11" t="inlineStr">
        <is>
          <t>Compare with the exit multiple assumption</t>
        </is>
      </c>
    </row>
    <row r="36">
      <c r="B36" s="10" t="inlineStr">
        <is>
          <t>Exit-method implied perpetual growth (for judgement)</t>
        </is>
      </c>
      <c r="C36" s="91">
        <f>DCF!D38</f>
        <v>0.056011816556506014</v>
      </c>
      <c r="D36" s="87" t="str">
        <f>IF(C36&lt;WACC!$C$35,"INFO","CHECK")</f>
        <v>INFO</v>
      </c>
      <c r="E36" s="11" t="inlineStr">
        <is>
          <t>Above long-run GDP growth = exit multiple embeds growth beyond FY35</t>
        </is>
      </c>
    </row>
  </sheetData>
  <conditionalFormatting sqref="D7:D36">
    <cfRule type="expression" priority="1" dxfId="3">
      <formula>D7="PASS"</formula>
    </cfRule>
    <cfRule type="expression" priority="2" dxfId="4">
      <formula>D7="CHECK"</formula>
    </cfRule>
  </conditionalFormatting>
  <conditionalFormatting sqref="C4">
    <cfRule type="expression" priority="3" dxfId="3">
      <formula>$C$4="ALL PASS"</formula>
    </cfRule>
    <cfRule type="expression" priority="4" dxfId="4">
      <formula>$C$4&lt;&gt;"ALL PASS"</formula>
    </cfRule>
  </conditionalFormatting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2026-10-08T12:11:06Z</dcterms:created>
  <dcterms:modified xsi:type="dcterms:W3CDTF">2026-10-08T12:11:06Z</dcterms:modified>
</cp:coreProperties>
</file>